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�X��_" defaultThemeVersion="164011"/>
  <mc:AlternateContent xmlns:mc="http://schemas.openxmlformats.org/markup-compatibility/2006">
    <mc:Choice Requires="x15">
      <x15ac:absPath xmlns:x15ac="http://schemas.microsoft.com/office/spreadsheetml/2010/11/ac" url="Z:\Bio-Oss vs Bonetree\"/>
    </mc:Choice>
  </mc:AlternateContent>
  <bookViews>
    <workbookView xWindow="0" yWindow="24000" windowWidth="24420" windowHeight="10995" activeTab="5"/>
  </bookViews>
  <sheets>
    <sheet name="합계 기록" sheetId="6" r:id="rId1"/>
    <sheet name="bio-oss" sheetId="1" r:id="rId2"/>
    <sheet name="bontree plus" sheetId="4" r:id="rId3"/>
    <sheet name="bontree plus + bio-oss" sheetId="5" r:id="rId4"/>
    <sheet name="정리된분석데이터" sheetId="17" r:id="rId5"/>
    <sheet name="자동통계분석" sheetId="80" r:id="rId6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S35" i="4" l="1"/>
  <c r="J54" i="1"/>
  <c r="S4" i="5" l="1"/>
  <c r="S5" i="5"/>
  <c r="S6" i="5"/>
  <c r="S7" i="5"/>
  <c r="S8" i="5"/>
  <c r="S9" i="5"/>
  <c r="S10" i="5"/>
  <c r="S11" i="5"/>
  <c r="S12" i="5"/>
  <c r="S13" i="5"/>
  <c r="S14" i="5"/>
  <c r="S15" i="5"/>
  <c r="S16" i="5"/>
  <c r="S17" i="5"/>
  <c r="S18" i="5"/>
  <c r="S19" i="5"/>
  <c r="S20" i="5"/>
  <c r="S21" i="5"/>
  <c r="S22" i="5"/>
  <c r="S23" i="5"/>
  <c r="S24" i="5"/>
  <c r="S25" i="5"/>
  <c r="S26" i="5"/>
  <c r="S27" i="5"/>
  <c r="S28" i="5"/>
  <c r="S29" i="5"/>
  <c r="S30" i="5"/>
  <c r="S31" i="5"/>
  <c r="S32" i="5"/>
  <c r="S33" i="5"/>
  <c r="S34" i="5"/>
  <c r="S35" i="5"/>
  <c r="S36" i="5"/>
  <c r="S37" i="5"/>
  <c r="S38" i="5"/>
  <c r="S39" i="5"/>
  <c r="S40" i="5"/>
  <c r="S41" i="5"/>
  <c r="S42" i="5"/>
  <c r="S43" i="5"/>
  <c r="S44" i="5"/>
  <c r="S45" i="5"/>
  <c r="S46" i="5"/>
  <c r="S47" i="5"/>
  <c r="S48" i="5"/>
  <c r="S49" i="5"/>
  <c r="S50" i="5"/>
  <c r="S51" i="5"/>
  <c r="S52" i="5"/>
  <c r="S53" i="5"/>
  <c r="S54" i="5"/>
  <c r="S55" i="5"/>
  <c r="S56" i="5"/>
  <c r="S57" i="5"/>
  <c r="S58" i="5"/>
  <c r="S59" i="5"/>
  <c r="S60" i="5"/>
  <c r="S61" i="5"/>
  <c r="S3" i="5"/>
  <c r="S4" i="4"/>
  <c r="S5" i="4"/>
  <c r="S6" i="4"/>
  <c r="S7" i="4"/>
  <c r="S8" i="4"/>
  <c r="S9" i="4"/>
  <c r="S10" i="4"/>
  <c r="S11" i="4"/>
  <c r="S12" i="4"/>
  <c r="S13" i="4"/>
  <c r="S14" i="4"/>
  <c r="S15" i="4"/>
  <c r="S16" i="4"/>
  <c r="S17" i="4"/>
  <c r="S18" i="4"/>
  <c r="S19" i="4"/>
  <c r="S20" i="4"/>
  <c r="S21" i="4"/>
  <c r="S22" i="4"/>
  <c r="S23" i="4"/>
  <c r="S24" i="4"/>
  <c r="S25" i="4"/>
  <c r="S26" i="4"/>
  <c r="S27" i="4"/>
  <c r="S28" i="4"/>
  <c r="S29" i="4"/>
  <c r="S30" i="4"/>
  <c r="S31" i="4"/>
  <c r="S32" i="4"/>
  <c r="S33" i="4"/>
  <c r="S34" i="4"/>
  <c r="S36" i="4"/>
  <c r="S37" i="4"/>
  <c r="S38" i="4"/>
  <c r="S39" i="4"/>
  <c r="S40" i="4"/>
  <c r="S41" i="4"/>
  <c r="S42" i="4"/>
  <c r="S43" i="4"/>
  <c r="S44" i="4"/>
  <c r="S45" i="4"/>
  <c r="S46" i="4"/>
  <c r="S47" i="4"/>
  <c r="S48" i="4"/>
  <c r="S49" i="4"/>
  <c r="S50" i="4"/>
  <c r="S51" i="4"/>
  <c r="S52" i="4"/>
  <c r="S53" i="4"/>
  <c r="S54" i="4"/>
  <c r="S55" i="4"/>
  <c r="S56" i="4"/>
  <c r="S57" i="4"/>
  <c r="S58" i="4"/>
  <c r="S59" i="4"/>
  <c r="S60" i="4"/>
  <c r="S61" i="4"/>
  <c r="S3" i="4"/>
  <c r="S4" i="1"/>
  <c r="S5" i="1"/>
  <c r="S6" i="1"/>
  <c r="S7" i="1"/>
  <c r="S8" i="1"/>
  <c r="S9" i="1"/>
  <c r="S10" i="1"/>
  <c r="S11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5" i="1"/>
  <c r="S26" i="1"/>
  <c r="S27" i="1"/>
  <c r="S28" i="1"/>
  <c r="S29" i="1"/>
  <c r="S30" i="1"/>
  <c r="S31" i="1"/>
  <c r="S32" i="1"/>
  <c r="S33" i="1"/>
  <c r="S34" i="1"/>
  <c r="S35" i="1"/>
  <c r="S36" i="1"/>
  <c r="S37" i="1"/>
  <c r="S38" i="1"/>
  <c r="S39" i="1"/>
  <c r="S40" i="1"/>
  <c r="S41" i="1"/>
  <c r="S42" i="1"/>
  <c r="S43" i="1"/>
  <c r="S44" i="1"/>
  <c r="S45" i="1"/>
  <c r="S46" i="1"/>
  <c r="S47" i="1"/>
  <c r="S48" i="1"/>
  <c r="S49" i="1"/>
  <c r="S50" i="1"/>
  <c r="S51" i="1"/>
  <c r="S52" i="1"/>
  <c r="S53" i="1"/>
  <c r="S54" i="1"/>
  <c r="S55" i="1"/>
  <c r="S56" i="1"/>
  <c r="S57" i="1"/>
  <c r="S58" i="1"/>
  <c r="S59" i="1"/>
  <c r="S60" i="1"/>
  <c r="S61" i="1"/>
  <c r="S3" i="1"/>
  <c r="J11" i="4"/>
  <c r="L58" i="1" l="1"/>
  <c r="J58" i="1"/>
  <c r="L53" i="1" l="1"/>
  <c r="J53" i="1"/>
  <c r="J60" i="4"/>
  <c r="J58" i="5"/>
  <c r="L60" i="4"/>
  <c r="L54" i="4"/>
  <c r="L53" i="4"/>
  <c r="J55" i="4"/>
  <c r="J56" i="4"/>
  <c r="J58" i="4"/>
  <c r="J61" i="4"/>
  <c r="L56" i="4"/>
  <c r="L61" i="4"/>
  <c r="L59" i="5"/>
  <c r="L53" i="5"/>
  <c r="J61" i="5"/>
  <c r="L56" i="5"/>
  <c r="J56" i="5"/>
  <c r="L58" i="5"/>
  <c r="L54" i="5"/>
  <c r="L61" i="5"/>
  <c r="J55" i="5"/>
  <c r="J53" i="5"/>
  <c r="J53" i="4"/>
  <c r="L59" i="4"/>
  <c r="L55" i="4"/>
  <c r="L60" i="5"/>
  <c r="J54" i="5"/>
  <c r="J59" i="5"/>
  <c r="J60" i="5"/>
  <c r="L58" i="4"/>
  <c r="L55" i="5"/>
  <c r="J54" i="4"/>
  <c r="J59" i="4"/>
  <c r="L43" i="4" l="1"/>
  <c r="J43" i="4"/>
  <c r="L48" i="4"/>
  <c r="J48" i="4"/>
  <c r="J4" i="1"/>
  <c r="L55" i="1"/>
  <c r="J56" i="1"/>
  <c r="L61" i="1"/>
  <c r="J60" i="1"/>
  <c r="L60" i="1"/>
  <c r="J61" i="1"/>
  <c r="J5" i="4"/>
  <c r="L56" i="1"/>
  <c r="J55" i="1"/>
  <c r="L54" i="1"/>
  <c r="L59" i="1"/>
  <c r="J59" i="1"/>
  <c r="L33" i="5" l="1"/>
  <c r="J33" i="5"/>
  <c r="J10" i="1"/>
  <c r="J13" i="1"/>
  <c r="J8" i="1" a="1"/>
  <c r="J3" i="1"/>
  <c r="J14" i="1"/>
  <c r="J8" i="1" l="1"/>
  <c r="L18" i="4"/>
  <c r="L21" i="4"/>
  <c r="J23" i="4"/>
  <c r="L20" i="4"/>
  <c r="L23" i="4"/>
  <c r="L14" i="4"/>
  <c r="J19" i="4"/>
  <c r="L16" i="4"/>
  <c r="L15" i="4"/>
  <c r="J21" i="4"/>
  <c r="J20" i="4"/>
  <c r="L19" i="4"/>
  <c r="L28" i="5" l="1"/>
  <c r="L23" i="5"/>
  <c r="J16" i="4"/>
  <c r="J18" i="4"/>
  <c r="J24" i="4"/>
  <c r="L24" i="4"/>
  <c r="J14" i="4"/>
  <c r="J15" i="4"/>
  <c r="L13" i="4" l="1"/>
  <c r="L8" i="4" l="1"/>
  <c r="U4" i="5" l="1"/>
  <c r="J15" i="1"/>
  <c r="J25" i="5"/>
  <c r="J26" i="4"/>
  <c r="J9" i="1"/>
  <c r="J5" i="1"/>
  <c r="J24" i="1"/>
  <c r="J29" i="1"/>
  <c r="J48" i="5"/>
  <c r="L9" i="4"/>
  <c r="L34" i="4"/>
  <c r="J48" i="1"/>
  <c r="J31" i="4"/>
  <c r="L8" i="1"/>
  <c r="J26" i="1"/>
  <c r="J28" i="1"/>
  <c r="J38" i="4"/>
  <c r="J6" i="4"/>
  <c r="J39" i="4"/>
  <c r="J44" i="1"/>
  <c r="J41" i="1"/>
  <c r="L50" i="1"/>
  <c r="L20" i="1"/>
  <c r="J25" i="4"/>
  <c r="L14" i="5"/>
  <c r="J19" i="1"/>
  <c r="L35" i="5"/>
  <c r="L30" i="1"/>
  <c r="L6" i="4"/>
  <c r="J45" i="4"/>
  <c r="L5" i="5"/>
  <c r="L5" i="1"/>
  <c r="L29" i="4"/>
  <c r="J36" i="1"/>
  <c r="L39" i="5"/>
  <c r="L51" i="1"/>
  <c r="J34" i="1"/>
  <c r="L51" i="4"/>
  <c r="L4" i="5"/>
  <c r="J46" i="1"/>
  <c r="J20" i="1"/>
  <c r="J49" i="1"/>
  <c r="L14" i="1"/>
  <c r="J49" i="5"/>
  <c r="L9" i="1"/>
  <c r="L46" i="1"/>
  <c r="J10" i="5"/>
  <c r="J8" i="5"/>
  <c r="J50" i="4"/>
  <c r="J33" i="4"/>
  <c r="L44" i="1"/>
  <c r="L10" i="4"/>
  <c r="J16" i="1"/>
  <c r="L28" i="1"/>
  <c r="L44" i="4"/>
  <c r="L34" i="5"/>
  <c r="J23" i="5"/>
  <c r="L33" i="4"/>
  <c r="L29" i="1"/>
  <c r="L25" i="5"/>
  <c r="J50" i="1"/>
  <c r="L25" i="4"/>
  <c r="L31" i="5"/>
  <c r="L45" i="4"/>
  <c r="L46" i="5"/>
  <c r="J16" i="5"/>
  <c r="J6" i="1"/>
  <c r="L8" i="5"/>
  <c r="J28" i="5"/>
  <c r="L11" i="1"/>
  <c r="J15" i="5"/>
  <c r="J8" i="4"/>
  <c r="L29" i="5"/>
  <c r="L31" i="1"/>
  <c r="J45" i="1"/>
  <c r="L26" i="1"/>
  <c r="J24" i="5"/>
  <c r="L16" i="5"/>
  <c r="L4" i="4"/>
  <c r="J51" i="4"/>
  <c r="J6" i="5"/>
  <c r="L28" i="4"/>
  <c r="L39" i="4"/>
  <c r="L20" i="5"/>
  <c r="J41" i="5"/>
  <c r="J28" i="4"/>
  <c r="J51" i="1"/>
  <c r="J30" i="1"/>
  <c r="J30" i="5"/>
  <c r="J44" i="4"/>
  <c r="L49" i="1"/>
  <c r="L48" i="5"/>
  <c r="L4" i="1"/>
  <c r="L39" i="1"/>
  <c r="J26" i="5"/>
  <c r="L31" i="4"/>
  <c r="L13" i="1"/>
  <c r="L33" i="1"/>
  <c r="J41" i="4"/>
  <c r="L41" i="5"/>
  <c r="L36" i="4"/>
  <c r="L25" i="1"/>
  <c r="J49" i="4"/>
  <c r="L18" i="1"/>
  <c r="L10" i="5"/>
  <c r="L19" i="1"/>
  <c r="J46" i="5"/>
  <c r="L26" i="4"/>
  <c r="L11" i="4"/>
  <c r="J38" i="1"/>
  <c r="L9" i="5"/>
  <c r="J4" i="5"/>
  <c r="J13" i="4"/>
  <c r="L49" i="4"/>
  <c r="J19" i="5"/>
  <c r="J29" i="4"/>
  <c r="L46" i="4"/>
  <c r="J38" i="5"/>
  <c r="L26" i="5"/>
  <c r="L41" i="4"/>
  <c r="J39" i="1"/>
  <c r="J5" i="5"/>
  <c r="J18" i="5"/>
  <c r="J9" i="4"/>
  <c r="J11" i="1"/>
  <c r="J31" i="5"/>
  <c r="L41" i="1"/>
  <c r="L43" i="5"/>
  <c r="L18" i="5"/>
  <c r="L36" i="5"/>
  <c r="J20" i="5"/>
  <c r="L11" i="5"/>
  <c r="J35" i="4"/>
  <c r="J23" i="1"/>
  <c r="L50" i="4"/>
  <c r="L5" i="4"/>
  <c r="J14" i="5"/>
  <c r="L45" i="1"/>
  <c r="L34" i="1"/>
  <c r="J39" i="5"/>
  <c r="L21" i="5"/>
  <c r="L19" i="5"/>
  <c r="J40" i="5"/>
  <c r="L3" i="5"/>
  <c r="J4" i="4"/>
  <c r="J34" i="4"/>
  <c r="L15" i="5"/>
  <c r="L30" i="5"/>
  <c r="J3" i="5"/>
  <c r="L50" i="5"/>
  <c r="J9" i="5"/>
  <c r="J3" i="4"/>
  <c r="J36" i="5"/>
  <c r="J46" i="4"/>
  <c r="L24" i="5"/>
  <c r="J18" i="1"/>
  <c r="J30" i="4"/>
  <c r="L13" i="5"/>
  <c r="L51" i="5"/>
  <c r="J10" i="4"/>
  <c r="J29" i="5"/>
  <c r="J34" i="5"/>
  <c r="L24" i="1"/>
  <c r="J36" i="4"/>
  <c r="L38" i="4"/>
  <c r="L38" i="1"/>
  <c r="L38" i="5"/>
  <c r="L6" i="5"/>
  <c r="L35" i="4"/>
  <c r="L23" i="1"/>
  <c r="J11" i="5"/>
  <c r="L40" i="5"/>
  <c r="L43" i="1"/>
  <c r="L6" i="1"/>
  <c r="J21" i="5"/>
  <c r="J31" i="1"/>
  <c r="L16" i="1"/>
  <c r="J25" i="1"/>
  <c r="L36" i="1"/>
  <c r="L49" i="5"/>
  <c r="L10" i="1"/>
  <c r="J35" i="5"/>
  <c r="J13" i="5"/>
  <c r="L15" i="1"/>
  <c r="L30" i="4"/>
  <c r="J21" i="1"/>
  <c r="J33" i="1"/>
  <c r="J43" i="1"/>
  <c r="L48" i="1"/>
  <c r="L21" i="1"/>
  <c r="J51" i="5"/>
  <c r="J50" i="5"/>
  <c r="L3" i="4"/>
  <c r="L3" i="1"/>
  <c r="L40" i="4"/>
  <c r="J40" i="4"/>
  <c r="L45" i="5"/>
  <c r="J43" i="5"/>
  <c r="L44" i="5"/>
  <c r="J44" i="5"/>
  <c r="J45" i="5"/>
  <c r="L35" i="1"/>
  <c r="J35" i="1"/>
  <c r="L40" i="1"/>
  <c r="J40" i="1"/>
</calcChain>
</file>

<file path=xl/sharedStrings.xml><?xml version="1.0" encoding="utf-8"?>
<sst xmlns="http://schemas.openxmlformats.org/spreadsheetml/2006/main" count="1195" uniqueCount="561">
  <si>
    <t>번호</t>
    <phoneticPr fontId="1" type="noConversion"/>
  </si>
  <si>
    <t>이름</t>
    <phoneticPr fontId="1" type="noConversion"/>
  </si>
  <si>
    <t>차트번호</t>
    <phoneticPr fontId="1" type="noConversion"/>
  </si>
  <si>
    <t>술식일</t>
    <phoneticPr fontId="1" type="noConversion"/>
  </si>
  <si>
    <t>당일</t>
    <phoneticPr fontId="1" type="noConversion"/>
  </si>
  <si>
    <t>3m</t>
    <phoneticPr fontId="1" type="noConversion"/>
  </si>
  <si>
    <t>6m</t>
    <phoneticPr fontId="1" type="noConversion"/>
  </si>
  <si>
    <t>1y</t>
    <phoneticPr fontId="1" type="noConversion"/>
  </si>
  <si>
    <t>PPD</t>
    <phoneticPr fontId="1" type="noConversion"/>
  </si>
  <si>
    <t>CAL</t>
    <phoneticPr fontId="1" type="noConversion"/>
  </si>
  <si>
    <t>BOP</t>
    <phoneticPr fontId="1" type="noConversion"/>
  </si>
  <si>
    <t>PUS</t>
    <phoneticPr fontId="1" type="noConversion"/>
  </si>
  <si>
    <t>PPD(mean)</t>
    <phoneticPr fontId="1" type="noConversion"/>
  </si>
  <si>
    <t>CAL(mean)</t>
    <phoneticPr fontId="1" type="noConversion"/>
  </si>
  <si>
    <t>IO</t>
    <phoneticPr fontId="1" type="noConversion"/>
  </si>
  <si>
    <t>Bio-Oss GTR</t>
    <phoneticPr fontId="1" type="noConversion"/>
  </si>
  <si>
    <t>CEJ-AC</t>
    <phoneticPr fontId="1" type="noConversion"/>
  </si>
  <si>
    <t>CEJ-BD</t>
    <phoneticPr fontId="1" type="noConversion"/>
  </si>
  <si>
    <t>Soft tissue assessment</t>
    <phoneticPr fontId="1" type="noConversion"/>
  </si>
  <si>
    <t>Hard tissue assessment</t>
    <phoneticPr fontId="1" type="noConversion"/>
  </si>
  <si>
    <t>+</t>
    <phoneticPr fontId="1" type="noConversion"/>
  </si>
  <si>
    <t>-</t>
    <phoneticPr fontId="1" type="noConversion"/>
  </si>
  <si>
    <t>O</t>
    <phoneticPr fontId="1" type="noConversion"/>
  </si>
  <si>
    <t>Pano</t>
    <phoneticPr fontId="1" type="noConversion"/>
  </si>
  <si>
    <t>PA</t>
    <phoneticPr fontId="1" type="noConversion"/>
  </si>
  <si>
    <t>X</t>
    <phoneticPr fontId="1" type="noConversion"/>
  </si>
  <si>
    <t>Defect angle</t>
    <phoneticPr fontId="1" type="noConversion"/>
  </si>
  <si>
    <t>%Bone fill</t>
    <phoneticPr fontId="1" type="noConversion"/>
  </si>
  <si>
    <t>Defect depth BD-AC</t>
    <phoneticPr fontId="1" type="noConversion"/>
  </si>
  <si>
    <t>술식 부위 Defect class.</t>
    <phoneticPr fontId="1" type="noConversion"/>
  </si>
  <si>
    <t>Bontree plus GTR</t>
    <phoneticPr fontId="1" type="noConversion"/>
  </si>
  <si>
    <t>Bontree plus + Bio-Oss GTR</t>
    <phoneticPr fontId="1" type="noConversion"/>
  </si>
  <si>
    <t>임숙자</t>
    <phoneticPr fontId="1" type="noConversion"/>
  </si>
  <si>
    <t>1.5 wall</t>
    <phoneticPr fontId="1" type="noConversion"/>
  </si>
  <si>
    <t>#26D</t>
    <phoneticPr fontId="1" type="noConversion"/>
  </si>
  <si>
    <t>336/378</t>
    <phoneticPr fontId="1" type="noConversion"/>
  </si>
  <si>
    <t>#35</t>
    <phoneticPr fontId="1" type="noConversion"/>
  </si>
  <si>
    <t>1 wall</t>
    <phoneticPr fontId="1" type="noConversion"/>
  </si>
  <si>
    <t>557/377</t>
    <phoneticPr fontId="1" type="noConversion"/>
  </si>
  <si>
    <t>777/488</t>
    <phoneticPr fontId="1" type="noConversion"/>
  </si>
  <si>
    <t>-</t>
    <phoneticPr fontId="1" type="noConversion"/>
  </si>
  <si>
    <t>MOB</t>
    <phoneticPr fontId="1" type="noConversion"/>
  </si>
  <si>
    <t>OA, RWS</t>
    <phoneticPr fontId="1" type="noConversion"/>
  </si>
  <si>
    <t>특이사항</t>
    <phoneticPr fontId="1" type="noConversion"/>
  </si>
  <si>
    <t>술식</t>
    <phoneticPr fontId="1" type="noConversion"/>
  </si>
  <si>
    <t>last visit</t>
    <phoneticPr fontId="1" type="noConversion"/>
  </si>
  <si>
    <t>bontree plus</t>
    <phoneticPr fontId="1" type="noConversion"/>
  </si>
  <si>
    <t>bontree plus + bio-oss</t>
    <phoneticPr fontId="1" type="noConversion"/>
  </si>
  <si>
    <t>next visit</t>
    <phoneticPr fontId="1" type="noConversion"/>
  </si>
  <si>
    <t>김수아</t>
    <phoneticPr fontId="1" type="noConversion"/>
  </si>
  <si>
    <t>POD</t>
    <phoneticPr fontId="1" type="noConversion"/>
  </si>
  <si>
    <t>김수아</t>
    <phoneticPr fontId="1" type="noConversion"/>
  </si>
  <si>
    <t>#46D</t>
    <phoneticPr fontId="1" type="noConversion"/>
  </si>
  <si>
    <t>3 wall</t>
    <phoneticPr fontId="1" type="noConversion"/>
  </si>
  <si>
    <t>circumferential</t>
    <phoneticPr fontId="1" type="noConversion"/>
  </si>
  <si>
    <t>755/734</t>
    <phoneticPr fontId="1" type="noConversion"/>
  </si>
  <si>
    <t>(10)77/(10)56</t>
    <phoneticPr fontId="1" type="noConversion"/>
  </si>
  <si>
    <t>+</t>
    <phoneticPr fontId="1" type="noConversion"/>
  </si>
  <si>
    <t>-</t>
    <phoneticPr fontId="1" type="noConversion"/>
  </si>
  <si>
    <t>O</t>
    <phoneticPr fontId="1" type="noConversion"/>
  </si>
  <si>
    <t>X</t>
    <phoneticPr fontId="1" type="noConversion"/>
  </si>
  <si>
    <t>김수아</t>
    <phoneticPr fontId="1" type="noConversion"/>
  </si>
  <si>
    <t>bontree plus</t>
    <phoneticPr fontId="1" type="noConversion"/>
  </si>
  <si>
    <t>강용묵</t>
    <phoneticPr fontId="1" type="noConversion"/>
  </si>
  <si>
    <t>차미근</t>
    <phoneticPr fontId="1" type="noConversion"/>
  </si>
  <si>
    <t>신순자</t>
    <phoneticPr fontId="1" type="noConversion"/>
  </si>
  <si>
    <t>치식</t>
    <phoneticPr fontId="1" type="noConversion"/>
  </si>
  <si>
    <t>#26</t>
    <phoneticPr fontId="1" type="noConversion"/>
  </si>
  <si>
    <t>#35</t>
    <phoneticPr fontId="1" type="noConversion"/>
  </si>
  <si>
    <t>#46</t>
    <phoneticPr fontId="1" type="noConversion"/>
  </si>
  <si>
    <t>#35</t>
    <phoneticPr fontId="1" type="noConversion"/>
  </si>
  <si>
    <t>bontree plus</t>
    <phoneticPr fontId="1" type="noConversion"/>
  </si>
  <si>
    <t>신순자</t>
    <phoneticPr fontId="1" type="noConversion"/>
  </si>
  <si>
    <t>#35L</t>
    <phoneticPr fontId="1" type="noConversion"/>
  </si>
  <si>
    <t>3 wall</t>
    <phoneticPr fontId="1" type="noConversion"/>
  </si>
  <si>
    <t>circumferential</t>
    <phoneticPr fontId="1" type="noConversion"/>
  </si>
  <si>
    <t>937/999</t>
    <phoneticPr fontId="1" type="noConversion"/>
  </si>
  <si>
    <t>+</t>
    <phoneticPr fontId="1" type="noConversion"/>
  </si>
  <si>
    <t>O</t>
    <phoneticPr fontId="1" type="noConversion"/>
  </si>
  <si>
    <t>TFO/OA</t>
    <phoneticPr fontId="1" type="noConversion"/>
  </si>
  <si>
    <t>-</t>
    <phoneticPr fontId="1" type="noConversion"/>
  </si>
  <si>
    <t>김정희</t>
    <phoneticPr fontId="1" type="noConversion"/>
  </si>
  <si>
    <t>#36</t>
    <phoneticPr fontId="1" type="noConversion"/>
  </si>
  <si>
    <t>223/222</t>
    <phoneticPr fontId="1" type="noConversion"/>
  </si>
  <si>
    <t>223/333</t>
    <phoneticPr fontId="1" type="noConversion"/>
  </si>
  <si>
    <t>-</t>
    <phoneticPr fontId="1" type="noConversion"/>
  </si>
  <si>
    <t>224/226</t>
    <phoneticPr fontId="1" type="noConversion"/>
  </si>
  <si>
    <t>554/337</t>
    <phoneticPr fontId="1" type="noConversion"/>
  </si>
  <si>
    <t>+</t>
    <phoneticPr fontId="1" type="noConversion"/>
  </si>
  <si>
    <t>O</t>
    <phoneticPr fontId="1" type="noConversion"/>
  </si>
  <si>
    <t>X</t>
    <phoneticPr fontId="1" type="noConversion"/>
  </si>
  <si>
    <t>Dr. 최수영</t>
    <phoneticPr fontId="1" type="noConversion"/>
  </si>
  <si>
    <t>Dr. 최수영</t>
    <phoneticPr fontId="1" type="noConversion"/>
  </si>
  <si>
    <t>Pf. 김용건</t>
    <phoneticPr fontId="1" type="noConversion"/>
  </si>
  <si>
    <t>Operator</t>
    <phoneticPr fontId="1" type="noConversion"/>
  </si>
  <si>
    <t>(10)48/(11)(11)(11)</t>
    <phoneticPr fontId="1" type="noConversion"/>
  </si>
  <si>
    <t>진영분</t>
    <phoneticPr fontId="1" type="noConversion"/>
  </si>
  <si>
    <t>#45</t>
    <phoneticPr fontId="1" type="noConversion"/>
  </si>
  <si>
    <t>진영분</t>
    <phoneticPr fontId="1" type="noConversion"/>
  </si>
  <si>
    <t>#45</t>
    <phoneticPr fontId="1" type="noConversion"/>
  </si>
  <si>
    <t>722/853</t>
    <phoneticPr fontId="1" type="noConversion"/>
  </si>
  <si>
    <t>733/853</t>
    <phoneticPr fontId="1" type="noConversion"/>
  </si>
  <si>
    <t>+</t>
    <phoneticPr fontId="1" type="noConversion"/>
  </si>
  <si>
    <t>-</t>
    <phoneticPr fontId="1" type="noConversion"/>
  </si>
  <si>
    <t>O</t>
    <phoneticPr fontId="1" type="noConversion"/>
  </si>
  <si>
    <t>OP date 기준 정렬</t>
    <phoneticPr fontId="1" type="noConversion"/>
  </si>
  <si>
    <r>
      <t xml:space="preserve">OP date </t>
    </r>
    <r>
      <rPr>
        <b/>
        <sz val="11"/>
        <color theme="1"/>
        <rFont val="맑은 고딕"/>
        <family val="3"/>
        <charset val="129"/>
      </rPr>
      <t>▼</t>
    </r>
    <phoneticPr fontId="1" type="noConversion"/>
  </si>
  <si>
    <t>#34-37</t>
    <phoneticPr fontId="1" type="noConversion"/>
  </si>
  <si>
    <t>김수아</t>
    <phoneticPr fontId="1" type="noConversion"/>
  </si>
  <si>
    <t>3 wall</t>
    <phoneticPr fontId="1" type="noConversion"/>
  </si>
  <si>
    <t>3 wall</t>
    <phoneticPr fontId="1" type="noConversion"/>
  </si>
  <si>
    <t>2 wall</t>
    <phoneticPr fontId="1" type="noConversion"/>
  </si>
  <si>
    <t>2.5 wall</t>
    <phoneticPr fontId="1" type="noConversion"/>
  </si>
  <si>
    <t>324/223</t>
    <phoneticPr fontId="1" type="noConversion"/>
  </si>
  <si>
    <t>624/444</t>
    <phoneticPr fontId="1" type="noConversion"/>
  </si>
  <si>
    <t>525/234</t>
    <phoneticPr fontId="1" type="noConversion"/>
  </si>
  <si>
    <t>526/235</t>
    <phoneticPr fontId="1" type="noConversion"/>
  </si>
  <si>
    <t>527/337</t>
    <phoneticPr fontId="1" type="noConversion"/>
  </si>
  <si>
    <t>627/44(10)</t>
    <phoneticPr fontId="1" type="noConversion"/>
  </si>
  <si>
    <t>536/436</t>
    <phoneticPr fontId="1" type="noConversion"/>
  </si>
  <si>
    <t>64(10)/77(10)</t>
    <phoneticPr fontId="1" type="noConversion"/>
  </si>
  <si>
    <t>-</t>
    <phoneticPr fontId="1" type="noConversion"/>
  </si>
  <si>
    <t>+</t>
    <phoneticPr fontId="1" type="noConversion"/>
  </si>
  <si>
    <t>+</t>
    <phoneticPr fontId="1" type="noConversion"/>
  </si>
  <si>
    <t>+</t>
    <phoneticPr fontId="1" type="noConversion"/>
  </si>
  <si>
    <t>-</t>
    <phoneticPr fontId="1" type="noConversion"/>
  </si>
  <si>
    <t>O</t>
    <phoneticPr fontId="1" type="noConversion"/>
  </si>
  <si>
    <t>X</t>
    <phoneticPr fontId="1" type="noConversion"/>
  </si>
  <si>
    <t>김자영</t>
    <phoneticPr fontId="1" type="noConversion"/>
  </si>
  <si>
    <t>이웅열</t>
    <phoneticPr fontId="1" type="noConversion"/>
  </si>
  <si>
    <t>#36</t>
    <phoneticPr fontId="1" type="noConversion"/>
  </si>
  <si>
    <t>bio-oss</t>
    <phoneticPr fontId="1" type="noConversion"/>
  </si>
  <si>
    <t>김정희</t>
    <phoneticPr fontId="1" type="noConversion"/>
  </si>
  <si>
    <t>#36M</t>
    <phoneticPr fontId="1" type="noConversion"/>
  </si>
  <si>
    <t>533/433</t>
    <phoneticPr fontId="1" type="noConversion"/>
  </si>
  <si>
    <t>743/633</t>
    <phoneticPr fontId="1" type="noConversion"/>
  </si>
  <si>
    <t>-</t>
    <phoneticPr fontId="1" type="noConversion"/>
  </si>
  <si>
    <t>#34D</t>
    <phoneticPr fontId="1" type="noConversion"/>
  </si>
  <si>
    <t>#35D</t>
    <phoneticPr fontId="1" type="noConversion"/>
  </si>
  <si>
    <t>#36D</t>
    <phoneticPr fontId="1" type="noConversion"/>
  </si>
  <si>
    <t>#37D</t>
    <phoneticPr fontId="1" type="noConversion"/>
  </si>
  <si>
    <t>이상필</t>
    <phoneticPr fontId="1" type="noConversion"/>
  </si>
  <si>
    <t>#37</t>
    <phoneticPr fontId="1" type="noConversion"/>
  </si>
  <si>
    <t>김자영</t>
    <phoneticPr fontId="1" type="noConversion"/>
  </si>
  <si>
    <t>#14M</t>
    <phoneticPr fontId="1" type="noConversion"/>
  </si>
  <si>
    <t>3 wall</t>
    <phoneticPr fontId="1" type="noConversion"/>
  </si>
  <si>
    <t>#15M</t>
    <phoneticPr fontId="1" type="noConversion"/>
  </si>
  <si>
    <t>#16M</t>
    <phoneticPr fontId="1" type="noConversion"/>
  </si>
  <si>
    <t>#17M</t>
    <phoneticPr fontId="1" type="noConversion"/>
  </si>
  <si>
    <t>2 wall</t>
    <phoneticPr fontId="1" type="noConversion"/>
  </si>
  <si>
    <t>2 wall</t>
    <phoneticPr fontId="1" type="noConversion"/>
  </si>
  <si>
    <t>2 wall</t>
    <phoneticPr fontId="1" type="noConversion"/>
  </si>
  <si>
    <t>336/537</t>
    <phoneticPr fontId="1" type="noConversion"/>
  </si>
  <si>
    <t>336/337</t>
    <phoneticPr fontId="1" type="noConversion"/>
  </si>
  <si>
    <t>637/537</t>
    <phoneticPr fontId="1" type="noConversion"/>
  </si>
  <si>
    <t>345/534</t>
    <phoneticPr fontId="1" type="noConversion"/>
  </si>
  <si>
    <t>-</t>
    <phoneticPr fontId="1" type="noConversion"/>
  </si>
  <si>
    <t>-</t>
    <phoneticPr fontId="1" type="noConversion"/>
  </si>
  <si>
    <t>-</t>
    <phoneticPr fontId="1" type="noConversion"/>
  </si>
  <si>
    <t>#14-17</t>
    <phoneticPr fontId="1" type="noConversion"/>
  </si>
  <si>
    <t>#26M</t>
    <phoneticPr fontId="1" type="noConversion"/>
  </si>
  <si>
    <t>333/663</t>
    <phoneticPr fontId="1" type="noConversion"/>
  </si>
  <si>
    <t>333/663</t>
    <phoneticPr fontId="1" type="noConversion"/>
  </si>
  <si>
    <t>-</t>
    <phoneticPr fontId="1" type="noConversion"/>
  </si>
  <si>
    <t>최영호</t>
    <phoneticPr fontId="1" type="noConversion"/>
  </si>
  <si>
    <t>김태분</t>
    <phoneticPr fontId="1" type="noConversion"/>
  </si>
  <si>
    <t>#17</t>
    <phoneticPr fontId="1" type="noConversion"/>
  </si>
  <si>
    <t>#45</t>
    <phoneticPr fontId="1" type="noConversion"/>
  </si>
  <si>
    <t>bontree plus</t>
    <phoneticPr fontId="1" type="noConversion"/>
  </si>
  <si>
    <t>4부위</t>
    <phoneticPr fontId="1" type="noConversion"/>
  </si>
  <si>
    <t>하종웅</t>
    <phoneticPr fontId="1" type="noConversion"/>
  </si>
  <si>
    <t>김태분</t>
    <phoneticPr fontId="1" type="noConversion"/>
  </si>
  <si>
    <t>#17D</t>
    <phoneticPr fontId="1" type="noConversion"/>
  </si>
  <si>
    <t>933/933</t>
    <phoneticPr fontId="1" type="noConversion"/>
  </si>
  <si>
    <t>933/933</t>
    <phoneticPr fontId="1" type="noConversion"/>
  </si>
  <si>
    <t>O</t>
    <phoneticPr fontId="1" type="noConversion"/>
  </si>
  <si>
    <t>575/333</t>
    <phoneticPr fontId="1" type="noConversion"/>
  </si>
  <si>
    <t>최영호</t>
    <phoneticPr fontId="1" type="noConversion"/>
  </si>
  <si>
    <t>박문건</t>
    <phoneticPr fontId="1" type="noConversion"/>
  </si>
  <si>
    <t>Dr. 최수영</t>
    <phoneticPr fontId="1" type="noConversion"/>
  </si>
  <si>
    <t>#36</t>
    <phoneticPr fontId="1" type="noConversion"/>
  </si>
  <si>
    <t>이상필</t>
    <phoneticPr fontId="1" type="noConversion"/>
  </si>
  <si>
    <t>#37D</t>
    <phoneticPr fontId="1" type="noConversion"/>
  </si>
  <si>
    <t>3 wall</t>
    <phoneticPr fontId="1" type="noConversion"/>
  </si>
  <si>
    <t>circumferential</t>
    <phoneticPr fontId="1" type="noConversion"/>
  </si>
  <si>
    <t>337/336</t>
    <phoneticPr fontId="1" type="noConversion"/>
  </si>
  <si>
    <t>337/337</t>
    <phoneticPr fontId="1" type="noConversion"/>
  </si>
  <si>
    <t>+</t>
    <phoneticPr fontId="1" type="noConversion"/>
  </si>
  <si>
    <t>-</t>
    <phoneticPr fontId="1" type="noConversion"/>
  </si>
  <si>
    <t xml:space="preserve">last edited : </t>
    <phoneticPr fontId="1" type="noConversion"/>
  </si>
  <si>
    <t>윤지숙</t>
    <phoneticPr fontId="1" type="noConversion"/>
  </si>
  <si>
    <t>#36</t>
    <phoneticPr fontId="1" type="noConversion"/>
  </si>
  <si>
    <t>Pf. 김용건</t>
    <phoneticPr fontId="1" type="noConversion"/>
  </si>
  <si>
    <t>박문건</t>
    <phoneticPr fontId="1" type="noConversion"/>
  </si>
  <si>
    <t>#37D</t>
    <phoneticPr fontId="1" type="noConversion"/>
  </si>
  <si>
    <t>3 wall</t>
    <phoneticPr fontId="1" type="noConversion"/>
  </si>
  <si>
    <t>339/359</t>
    <phoneticPr fontId="1" type="noConversion"/>
  </si>
  <si>
    <t>339/359</t>
    <phoneticPr fontId="1" type="noConversion"/>
  </si>
  <si>
    <t>+</t>
    <phoneticPr fontId="1" type="noConversion"/>
  </si>
  <si>
    <t>-</t>
    <phoneticPr fontId="1" type="noConversion"/>
  </si>
  <si>
    <t>O</t>
    <phoneticPr fontId="1" type="noConversion"/>
  </si>
  <si>
    <t>최정희</t>
    <phoneticPr fontId="1" type="noConversion"/>
  </si>
  <si>
    <t>#26</t>
    <phoneticPr fontId="1" type="noConversion"/>
  </si>
  <si>
    <t>Dr. 최수영</t>
    <phoneticPr fontId="1" type="noConversion"/>
  </si>
  <si>
    <t>#26D</t>
    <phoneticPr fontId="1" type="noConversion"/>
  </si>
  <si>
    <t>337/356</t>
    <phoneticPr fontId="1" type="noConversion"/>
  </si>
  <si>
    <t>547/356</t>
    <phoneticPr fontId="1" type="noConversion"/>
  </si>
  <si>
    <t>+</t>
    <phoneticPr fontId="1" type="noConversion"/>
  </si>
  <si>
    <t>-</t>
    <phoneticPr fontId="1" type="noConversion"/>
  </si>
  <si>
    <t>#36</t>
    <phoneticPr fontId="1" type="noConversion"/>
  </si>
  <si>
    <t>홍정희</t>
    <phoneticPr fontId="1" type="noConversion"/>
  </si>
  <si>
    <t>오정근</t>
    <phoneticPr fontId="1" type="noConversion"/>
  </si>
  <si>
    <t>#36, 37</t>
    <phoneticPr fontId="1" type="noConversion"/>
  </si>
  <si>
    <t>#36, 37</t>
    <phoneticPr fontId="1" type="noConversion"/>
  </si>
  <si>
    <t>#47</t>
    <phoneticPr fontId="1" type="noConversion"/>
  </si>
  <si>
    <t>차미근</t>
    <phoneticPr fontId="1" type="noConversion"/>
  </si>
  <si>
    <t>#37B</t>
    <phoneticPr fontId="1" type="noConversion"/>
  </si>
  <si>
    <t>3 wall</t>
    <phoneticPr fontId="1" type="noConversion"/>
  </si>
  <si>
    <t>circumferential</t>
    <phoneticPr fontId="1" type="noConversion"/>
  </si>
  <si>
    <t>#36M</t>
    <phoneticPr fontId="1" type="noConversion"/>
  </si>
  <si>
    <t>1.5 wall</t>
    <phoneticPr fontId="1" type="noConversion"/>
  </si>
  <si>
    <t>99(12)/337</t>
    <phoneticPr fontId="1" type="noConversion"/>
  </si>
  <si>
    <t>553/333</t>
    <phoneticPr fontId="1" type="noConversion"/>
  </si>
  <si>
    <t>553/333</t>
    <phoneticPr fontId="1" type="noConversion"/>
  </si>
  <si>
    <t>+</t>
    <phoneticPr fontId="1" type="noConversion"/>
  </si>
  <si>
    <t>-</t>
    <phoneticPr fontId="1" type="noConversion"/>
  </si>
  <si>
    <t>1m</t>
  </si>
  <si>
    <t>하종웅</t>
    <phoneticPr fontId="1" type="noConversion"/>
  </si>
  <si>
    <t>#36D</t>
    <phoneticPr fontId="1" type="noConversion"/>
  </si>
  <si>
    <t>2 wall</t>
    <phoneticPr fontId="1" type="noConversion"/>
  </si>
  <si>
    <t>229/433</t>
    <phoneticPr fontId="1" type="noConversion"/>
  </si>
  <si>
    <t>+</t>
    <phoneticPr fontId="1" type="noConversion"/>
  </si>
  <si>
    <t>-</t>
    <phoneticPr fontId="1" type="noConversion"/>
  </si>
  <si>
    <t>이웅열</t>
    <phoneticPr fontId="1" type="noConversion"/>
  </si>
  <si>
    <t>1.5 wall</t>
    <phoneticPr fontId="1" type="noConversion"/>
  </si>
  <si>
    <t>436/435</t>
    <phoneticPr fontId="1" type="noConversion"/>
  </si>
  <si>
    <t>549/546</t>
    <phoneticPr fontId="1" type="noConversion"/>
  </si>
  <si>
    <t>bontree plus</t>
    <phoneticPr fontId="1" type="noConversion"/>
  </si>
  <si>
    <t>윤지숙</t>
    <phoneticPr fontId="1" type="noConversion"/>
  </si>
  <si>
    <t>#36</t>
    <phoneticPr fontId="1" type="noConversion"/>
  </si>
  <si>
    <t>1 wall</t>
    <phoneticPr fontId="1" type="noConversion"/>
  </si>
  <si>
    <t>furcation</t>
    <phoneticPr fontId="1" type="noConversion"/>
  </si>
  <si>
    <t>343/333</t>
    <phoneticPr fontId="1" type="noConversion"/>
  </si>
  <si>
    <t>656/444</t>
    <phoneticPr fontId="1" type="noConversion"/>
  </si>
  <si>
    <t>222/622</t>
    <phoneticPr fontId="1" type="noConversion"/>
  </si>
  <si>
    <t>333/622</t>
    <phoneticPr fontId="1" type="noConversion"/>
  </si>
  <si>
    <t>-</t>
    <phoneticPr fontId="1" type="noConversion"/>
  </si>
  <si>
    <t>O</t>
    <phoneticPr fontId="1" type="noConversion"/>
  </si>
  <si>
    <t>X</t>
    <phoneticPr fontId="1" type="noConversion"/>
  </si>
  <si>
    <t>O</t>
    <phoneticPr fontId="1" type="noConversion"/>
  </si>
  <si>
    <t>222/223</t>
    <phoneticPr fontId="1" type="noConversion"/>
  </si>
  <si>
    <t>333/444</t>
    <phoneticPr fontId="1" type="noConversion"/>
  </si>
  <si>
    <t>O</t>
    <phoneticPr fontId="1" type="noConversion"/>
  </si>
  <si>
    <t>223/224</t>
    <phoneticPr fontId="1" type="noConversion"/>
  </si>
  <si>
    <t>555/346</t>
    <phoneticPr fontId="1" type="noConversion"/>
  </si>
  <si>
    <t>223/222</t>
    <phoneticPr fontId="1" type="noConversion"/>
  </si>
  <si>
    <t>223/333</t>
    <phoneticPr fontId="1" type="noConversion"/>
  </si>
  <si>
    <t>O</t>
    <phoneticPr fontId="1" type="noConversion"/>
  </si>
  <si>
    <t>O</t>
    <phoneticPr fontId="1" type="noConversion"/>
  </si>
  <si>
    <t>O</t>
    <phoneticPr fontId="1" type="noConversion"/>
  </si>
  <si>
    <t>O</t>
    <phoneticPr fontId="1" type="noConversion"/>
  </si>
  <si>
    <t>X</t>
    <phoneticPr fontId="1" type="noConversion"/>
  </si>
  <si>
    <t>한은정</t>
    <phoneticPr fontId="1" type="noConversion"/>
  </si>
  <si>
    <t>#36</t>
    <phoneticPr fontId="1" type="noConversion"/>
  </si>
  <si>
    <t>Dr. 강석재</t>
    <phoneticPr fontId="1" type="noConversion"/>
  </si>
  <si>
    <t>#23</t>
    <phoneticPr fontId="1" type="noConversion"/>
  </si>
  <si>
    <t>#36M</t>
    <phoneticPr fontId="1" type="noConversion"/>
  </si>
  <si>
    <t>1 wall</t>
    <phoneticPr fontId="1" type="noConversion"/>
  </si>
  <si>
    <t>953/933</t>
    <phoneticPr fontId="1" type="noConversion"/>
  </si>
  <si>
    <t>953/933</t>
    <phoneticPr fontId="1" type="noConversion"/>
  </si>
  <si>
    <t>+</t>
    <phoneticPr fontId="1" type="noConversion"/>
  </si>
  <si>
    <t>-</t>
    <phoneticPr fontId="1" type="noConversion"/>
  </si>
  <si>
    <t>X</t>
    <phoneticPr fontId="1" type="noConversion"/>
  </si>
  <si>
    <t>O</t>
    <phoneticPr fontId="1" type="noConversion"/>
  </si>
  <si>
    <t>O</t>
    <phoneticPr fontId="1" type="noConversion"/>
  </si>
  <si>
    <t>Dr. 강석재</t>
    <phoneticPr fontId="1" type="noConversion"/>
  </si>
  <si>
    <t>bontree plus</t>
    <phoneticPr fontId="1" type="noConversion"/>
  </si>
  <si>
    <t>1m</t>
    <phoneticPr fontId="1" type="noConversion"/>
  </si>
  <si>
    <t>422/322</t>
    <phoneticPr fontId="1" type="noConversion"/>
  </si>
  <si>
    <t>522/433</t>
    <phoneticPr fontId="1" type="noConversion"/>
  </si>
  <si>
    <t>-</t>
    <phoneticPr fontId="1" type="noConversion"/>
  </si>
  <si>
    <t>O</t>
    <phoneticPr fontId="1" type="noConversion"/>
  </si>
  <si>
    <t>X</t>
    <phoneticPr fontId="1" type="noConversion"/>
  </si>
  <si>
    <t>222/222</t>
    <phoneticPr fontId="1" type="noConversion"/>
  </si>
  <si>
    <t>222/333</t>
    <phoneticPr fontId="1" type="noConversion"/>
  </si>
  <si>
    <t>-</t>
    <phoneticPr fontId="1" type="noConversion"/>
  </si>
  <si>
    <t>-</t>
    <phoneticPr fontId="1" type="noConversion"/>
  </si>
  <si>
    <t>O</t>
    <phoneticPr fontId="1" type="noConversion"/>
  </si>
  <si>
    <t>X</t>
    <phoneticPr fontId="1" type="noConversion"/>
  </si>
  <si>
    <t>O</t>
    <phoneticPr fontId="1" type="noConversion"/>
  </si>
  <si>
    <t>6m</t>
    <phoneticPr fontId="1" type="noConversion"/>
  </si>
  <si>
    <t>이명곤</t>
    <phoneticPr fontId="1" type="noConversion"/>
  </si>
  <si>
    <t>#27</t>
    <phoneticPr fontId="1" type="noConversion"/>
  </si>
  <si>
    <t>박정미</t>
    <phoneticPr fontId="1" type="noConversion"/>
  </si>
  <si>
    <t>Pf. 김용건</t>
    <phoneticPr fontId="1" type="noConversion"/>
  </si>
  <si>
    <t>#47</t>
    <phoneticPr fontId="1" type="noConversion"/>
  </si>
  <si>
    <t>유현정</t>
    <phoneticPr fontId="1" type="noConversion"/>
  </si>
  <si>
    <t>임상연구 제안했으나 거절</t>
    <phoneticPr fontId="1" type="noConversion"/>
  </si>
  <si>
    <t>Pf. 김용건</t>
    <phoneticPr fontId="1" type="noConversion"/>
  </si>
  <si>
    <t>#23</t>
    <phoneticPr fontId="1" type="noConversion"/>
  </si>
  <si>
    <t>+</t>
    <phoneticPr fontId="1" type="noConversion"/>
  </si>
  <si>
    <t>-</t>
    <phoneticPr fontId="1" type="noConversion"/>
  </si>
  <si>
    <t>433/(10)77</t>
    <phoneticPr fontId="1" type="noConversion"/>
  </si>
  <si>
    <t>O</t>
    <phoneticPr fontId="1" type="noConversion"/>
  </si>
  <si>
    <t>X</t>
    <phoneticPr fontId="1" type="noConversion"/>
  </si>
  <si>
    <t>#47</t>
    <phoneticPr fontId="1" type="noConversion"/>
  </si>
  <si>
    <t>3 wall</t>
    <phoneticPr fontId="1" type="noConversion"/>
  </si>
  <si>
    <t>(10)86/(10)86</t>
    <phoneticPr fontId="1" type="noConversion"/>
  </si>
  <si>
    <t>333/533</t>
    <phoneticPr fontId="1" type="noConversion"/>
  </si>
  <si>
    <t>-</t>
    <phoneticPr fontId="1" type="noConversion"/>
  </si>
  <si>
    <t>223/222</t>
    <phoneticPr fontId="1" type="noConversion"/>
  </si>
  <si>
    <t>336/333</t>
    <phoneticPr fontId="1" type="noConversion"/>
  </si>
  <si>
    <t>오정근</t>
    <phoneticPr fontId="1" type="noConversion"/>
  </si>
  <si>
    <t>#36</t>
    <phoneticPr fontId="1" type="noConversion"/>
  </si>
  <si>
    <t>furcation</t>
    <phoneticPr fontId="1" type="noConversion"/>
  </si>
  <si>
    <t>#37</t>
    <phoneticPr fontId="1" type="noConversion"/>
  </si>
  <si>
    <t>furcation</t>
    <phoneticPr fontId="1" type="noConversion"/>
  </si>
  <si>
    <t>575/333</t>
    <phoneticPr fontId="1" type="noConversion"/>
  </si>
  <si>
    <t>4(10)7/333</t>
    <phoneticPr fontId="1" type="noConversion"/>
  </si>
  <si>
    <t>+</t>
    <phoneticPr fontId="1" type="noConversion"/>
  </si>
  <si>
    <t>bio-oss</t>
    <phoneticPr fontId="1" type="noConversion"/>
  </si>
  <si>
    <t>권명숙</t>
    <phoneticPr fontId="1" type="noConversion"/>
  </si>
  <si>
    <t>#34</t>
    <phoneticPr fontId="1" type="noConversion"/>
  </si>
  <si>
    <t>bontree plus</t>
    <phoneticPr fontId="1" type="noConversion"/>
  </si>
  <si>
    <t>권명숙</t>
    <phoneticPr fontId="1" type="noConversion"/>
  </si>
  <si>
    <t>#34L</t>
    <phoneticPr fontId="1" type="noConversion"/>
  </si>
  <si>
    <t>3 wall</t>
    <phoneticPr fontId="1" type="noConversion"/>
  </si>
  <si>
    <t>333/575</t>
    <phoneticPr fontId="1" type="noConversion"/>
  </si>
  <si>
    <t>333/575</t>
    <phoneticPr fontId="1" type="noConversion"/>
  </si>
  <si>
    <t>+</t>
    <phoneticPr fontId="1" type="noConversion"/>
  </si>
  <si>
    <t>-</t>
    <phoneticPr fontId="1" type="noConversion"/>
  </si>
  <si>
    <t>O</t>
    <phoneticPr fontId="1" type="noConversion"/>
  </si>
  <si>
    <t>X</t>
    <phoneticPr fontId="1" type="noConversion"/>
  </si>
  <si>
    <t>333/333</t>
    <phoneticPr fontId="1" type="noConversion"/>
  </si>
  <si>
    <t>-</t>
    <phoneticPr fontId="1" type="noConversion"/>
  </si>
  <si>
    <t>O</t>
    <phoneticPr fontId="1" type="noConversion"/>
  </si>
  <si>
    <t>333/334</t>
    <phoneticPr fontId="1" type="noConversion"/>
  </si>
  <si>
    <t>334/335</t>
    <phoneticPr fontId="1" type="noConversion"/>
  </si>
  <si>
    <t>335/335</t>
    <phoneticPr fontId="1" type="noConversion"/>
  </si>
  <si>
    <t>335/335</t>
    <phoneticPr fontId="1" type="noConversion"/>
  </si>
  <si>
    <t>-</t>
    <phoneticPr fontId="1" type="noConversion"/>
  </si>
  <si>
    <t>444/333</t>
    <phoneticPr fontId="1" type="noConversion"/>
  </si>
  <si>
    <t>556/333</t>
    <phoneticPr fontId="1" type="noConversion"/>
  </si>
  <si>
    <t>O</t>
    <phoneticPr fontId="1" type="noConversion"/>
  </si>
  <si>
    <t>X</t>
    <phoneticPr fontId="1" type="noConversion"/>
  </si>
  <si>
    <t>O</t>
    <phoneticPr fontId="1" type="noConversion"/>
  </si>
  <si>
    <t>O</t>
    <phoneticPr fontId="1" type="noConversion"/>
  </si>
  <si>
    <t>O</t>
    <phoneticPr fontId="1" type="noConversion"/>
  </si>
  <si>
    <t>bio-oss</t>
    <phoneticPr fontId="1" type="noConversion"/>
  </si>
  <si>
    <t>천성길</t>
    <phoneticPr fontId="1" type="noConversion"/>
  </si>
  <si>
    <t>#46, 47</t>
    <phoneticPr fontId="1" type="noConversion"/>
  </si>
  <si>
    <t>#46M</t>
    <phoneticPr fontId="1" type="noConversion"/>
  </si>
  <si>
    <t>#47M</t>
    <phoneticPr fontId="1" type="noConversion"/>
  </si>
  <si>
    <t>535/664</t>
    <phoneticPr fontId="1" type="noConversion"/>
  </si>
  <si>
    <t>334/335</t>
    <phoneticPr fontId="1" type="noConversion"/>
  </si>
  <si>
    <t>+</t>
    <phoneticPr fontId="1" type="noConversion"/>
  </si>
  <si>
    <t>O</t>
    <phoneticPr fontId="1" type="noConversion"/>
  </si>
  <si>
    <t>X</t>
    <phoneticPr fontId="1" type="noConversion"/>
  </si>
  <si>
    <t>6m</t>
    <phoneticPr fontId="1" type="noConversion"/>
  </si>
  <si>
    <t>222/233</t>
    <phoneticPr fontId="1" type="noConversion"/>
  </si>
  <si>
    <t>333/444</t>
    <phoneticPr fontId="1" type="noConversion"/>
  </si>
  <si>
    <t>-</t>
    <phoneticPr fontId="1" type="noConversion"/>
  </si>
  <si>
    <t>222/522</t>
    <phoneticPr fontId="1" type="noConversion"/>
  </si>
  <si>
    <t>333/522</t>
    <phoneticPr fontId="1" type="noConversion"/>
  </si>
  <si>
    <t>-</t>
    <phoneticPr fontId="1" type="noConversion"/>
  </si>
  <si>
    <t>4/28 미내원, 6m 필요</t>
    <phoneticPr fontId="1" type="noConversion"/>
  </si>
  <si>
    <t>333/333</t>
    <phoneticPr fontId="1" type="noConversion"/>
  </si>
  <si>
    <t>443/333</t>
    <phoneticPr fontId="1" type="noConversion"/>
  </si>
  <si>
    <t>-</t>
    <phoneticPr fontId="1" type="noConversion"/>
  </si>
  <si>
    <t>-</t>
    <phoneticPr fontId="1" type="noConversion"/>
  </si>
  <si>
    <t>O</t>
    <phoneticPr fontId="1" type="noConversion"/>
  </si>
  <si>
    <t>X</t>
    <phoneticPr fontId="1" type="noConversion"/>
  </si>
  <si>
    <t>O</t>
    <phoneticPr fontId="1" type="noConversion"/>
  </si>
  <si>
    <t>222/222</t>
    <phoneticPr fontId="1" type="noConversion"/>
  </si>
  <si>
    <t>535/555</t>
    <phoneticPr fontId="1" type="noConversion"/>
  </si>
  <si>
    <t>-</t>
    <phoneticPr fontId="1" type="noConversion"/>
  </si>
  <si>
    <t>O</t>
    <phoneticPr fontId="1" type="noConversion"/>
  </si>
  <si>
    <t>1m</t>
    <phoneticPr fontId="1" type="noConversion"/>
  </si>
  <si>
    <t>bontree plus</t>
    <phoneticPr fontId="1" type="noConversion"/>
  </si>
  <si>
    <t>박정미</t>
    <phoneticPr fontId="1" type="noConversion"/>
  </si>
  <si>
    <t>#47</t>
    <phoneticPr fontId="1" type="noConversion"/>
  </si>
  <si>
    <t>1 wall</t>
    <phoneticPr fontId="1" type="noConversion"/>
  </si>
  <si>
    <t>furcation</t>
    <phoneticPr fontId="1" type="noConversion"/>
  </si>
  <si>
    <t>484/474</t>
    <phoneticPr fontId="1" type="noConversion"/>
  </si>
  <si>
    <t>+</t>
    <phoneticPr fontId="1" type="noConversion"/>
  </si>
  <si>
    <t>-</t>
    <phoneticPr fontId="1" type="noConversion"/>
  </si>
  <si>
    <t>O</t>
    <phoneticPr fontId="1" type="noConversion"/>
  </si>
  <si>
    <t>X</t>
    <phoneticPr fontId="1" type="noConversion"/>
  </si>
  <si>
    <t>이명곤</t>
    <phoneticPr fontId="1" type="noConversion"/>
  </si>
  <si>
    <t>#27M</t>
    <phoneticPr fontId="1" type="noConversion"/>
  </si>
  <si>
    <t>643/333</t>
    <phoneticPr fontId="1" type="noConversion"/>
  </si>
  <si>
    <t>+</t>
    <phoneticPr fontId="1" type="noConversion"/>
  </si>
  <si>
    <t>-</t>
    <phoneticPr fontId="1" type="noConversion"/>
  </si>
  <si>
    <t>O</t>
    <phoneticPr fontId="1" type="noConversion"/>
  </si>
  <si>
    <t>X</t>
    <phoneticPr fontId="1" type="noConversion"/>
  </si>
  <si>
    <t>6m 완료</t>
    <phoneticPr fontId="1" type="noConversion"/>
  </si>
  <si>
    <t>322/322</t>
    <phoneticPr fontId="1" type="noConversion"/>
  </si>
  <si>
    <t>422/433</t>
    <phoneticPr fontId="1" type="noConversion"/>
  </si>
  <si>
    <t>-</t>
    <phoneticPr fontId="1" type="noConversion"/>
  </si>
  <si>
    <t>O</t>
    <phoneticPr fontId="1" type="noConversion"/>
  </si>
  <si>
    <t>8m</t>
    <phoneticPr fontId="1" type="noConversion"/>
  </si>
  <si>
    <t>9m</t>
    <phoneticPr fontId="1" type="noConversion"/>
  </si>
  <si>
    <t>6/18 미내원, 6m 필요</t>
    <phoneticPr fontId="1" type="noConversion"/>
  </si>
  <si>
    <t>OA, RWS</t>
    <phoneticPr fontId="1" type="noConversion"/>
  </si>
  <si>
    <t>9월까지 6m 가능, CT 처방 완료</t>
    <phoneticPr fontId="1" type="noConversion"/>
  </si>
  <si>
    <t>6m</t>
    <phoneticPr fontId="1" type="noConversion"/>
  </si>
  <si>
    <t>3m 없음, CT 시행전</t>
    <phoneticPr fontId="1" type="noConversion"/>
  </si>
  <si>
    <t>3m 없음, 4부위, CT 시행전</t>
    <phoneticPr fontId="1" type="noConversion"/>
  </si>
  <si>
    <t>324/223</t>
    <phoneticPr fontId="1" type="noConversion"/>
  </si>
  <si>
    <t>624/444</t>
    <phoneticPr fontId="1" type="noConversion"/>
  </si>
  <si>
    <t>-</t>
    <phoneticPr fontId="1" type="noConversion"/>
  </si>
  <si>
    <t>333/222</t>
    <phoneticPr fontId="1" type="noConversion"/>
  </si>
  <si>
    <t>334/333</t>
    <phoneticPr fontId="1" type="noConversion"/>
  </si>
  <si>
    <t>525/333</t>
    <phoneticPr fontId="1" type="noConversion"/>
  </si>
  <si>
    <t>636/555</t>
    <phoneticPr fontId="1" type="noConversion"/>
  </si>
  <si>
    <t>525/434</t>
    <phoneticPr fontId="1" type="noConversion"/>
  </si>
  <si>
    <t>638/767</t>
    <phoneticPr fontId="1" type="noConversion"/>
  </si>
  <si>
    <t>-</t>
    <phoneticPr fontId="1" type="noConversion"/>
  </si>
  <si>
    <t>535/434</t>
    <phoneticPr fontId="1" type="noConversion"/>
  </si>
  <si>
    <t>868/757</t>
    <phoneticPr fontId="1" type="noConversion"/>
  </si>
  <si>
    <t>O</t>
    <phoneticPr fontId="1" type="noConversion"/>
  </si>
  <si>
    <t>O</t>
    <phoneticPr fontId="1" type="noConversion"/>
  </si>
  <si>
    <t>홍정희</t>
    <phoneticPr fontId="1" type="noConversion"/>
  </si>
  <si>
    <t>3 wall</t>
    <phoneticPr fontId="1" type="noConversion"/>
  </si>
  <si>
    <t>2025.04.24</t>
    <phoneticPr fontId="1" type="noConversion"/>
  </si>
  <si>
    <t>35(10)/337</t>
    <phoneticPr fontId="1" type="noConversion"/>
  </si>
  <si>
    <t>+</t>
    <phoneticPr fontId="1" type="noConversion"/>
  </si>
  <si>
    <t>+</t>
    <phoneticPr fontId="1" type="noConversion"/>
  </si>
  <si>
    <t>#36D</t>
    <phoneticPr fontId="1" type="noConversion"/>
  </si>
  <si>
    <t>1y</t>
    <phoneticPr fontId="1" type="noConversion"/>
  </si>
  <si>
    <t>9m</t>
    <phoneticPr fontId="1" type="noConversion"/>
  </si>
  <si>
    <t>333/333</t>
    <phoneticPr fontId="1" type="noConversion"/>
  </si>
  <si>
    <t>333/334</t>
    <phoneticPr fontId="1" type="noConversion"/>
  </si>
  <si>
    <t>222/224</t>
    <phoneticPr fontId="1" type="noConversion"/>
  </si>
  <si>
    <t>333/335</t>
    <phoneticPr fontId="1" type="noConversion"/>
  </si>
  <si>
    <t>222/523</t>
    <phoneticPr fontId="1" type="noConversion"/>
  </si>
  <si>
    <t>333/635</t>
    <phoneticPr fontId="1" type="noConversion"/>
  </si>
  <si>
    <t>423/323</t>
    <phoneticPr fontId="1" type="noConversion"/>
  </si>
  <si>
    <t>423/434</t>
    <phoneticPr fontId="1" type="noConversion"/>
  </si>
  <si>
    <t>524/432</t>
    <phoneticPr fontId="1" type="noConversion"/>
  </si>
  <si>
    <t>524/523</t>
    <phoneticPr fontId="1" type="noConversion"/>
  </si>
  <si>
    <t>-</t>
    <phoneticPr fontId="1" type="noConversion"/>
  </si>
  <si>
    <t>-</t>
    <phoneticPr fontId="1" type="noConversion"/>
  </si>
  <si>
    <t>-</t>
    <phoneticPr fontId="1" type="noConversion"/>
  </si>
  <si>
    <t>333/334</t>
    <phoneticPr fontId="1" type="noConversion"/>
  </si>
  <si>
    <t>333/334</t>
    <phoneticPr fontId="1" type="noConversion"/>
  </si>
  <si>
    <t>-</t>
    <phoneticPr fontId="1" type="noConversion"/>
  </si>
  <si>
    <t>333/433</t>
    <phoneticPr fontId="1" type="noConversion"/>
  </si>
  <si>
    <t>333/433</t>
    <phoneticPr fontId="1" type="noConversion"/>
  </si>
  <si>
    <t>O</t>
    <phoneticPr fontId="1" type="noConversion"/>
  </si>
  <si>
    <t>O</t>
    <phoneticPr fontId="1" type="noConversion"/>
  </si>
  <si>
    <t>O</t>
    <phoneticPr fontId="1" type="noConversion"/>
  </si>
  <si>
    <t>O</t>
    <phoneticPr fontId="1" type="noConversion"/>
  </si>
  <si>
    <t>O</t>
    <phoneticPr fontId="1" type="noConversion"/>
  </si>
  <si>
    <t>O</t>
    <phoneticPr fontId="1" type="noConversion"/>
  </si>
  <si>
    <t>ID</t>
  </si>
  <si>
    <t>PPD_0m</t>
  </si>
  <si>
    <t>PPD_3m</t>
  </si>
  <si>
    <t>PPD_6m</t>
  </si>
  <si>
    <t>dPPD</t>
  </si>
  <si>
    <t>CAL_0m</t>
  </si>
  <si>
    <t>CAL_3m</t>
  </si>
  <si>
    <t>CAL_6m</t>
  </si>
  <si>
    <t>dCAL</t>
  </si>
  <si>
    <t>BDAC_0m</t>
  </si>
  <si>
    <t>BDAC_3m</t>
  </si>
  <si>
    <t>BDAC_6m</t>
  </si>
  <si>
    <t>dBDAC</t>
  </si>
  <si>
    <t>BO-1</t>
  </si>
  <si>
    <t>BT-1</t>
  </si>
  <si>
    <t>CO-1</t>
  </si>
  <si>
    <t>BO-2</t>
  </si>
  <si>
    <t>BO-3</t>
  </si>
  <si>
    <t>BO-4</t>
  </si>
  <si>
    <t>BO-5</t>
  </si>
  <si>
    <t>BO-6</t>
  </si>
  <si>
    <t>BO-7</t>
  </si>
  <si>
    <t>BO-8</t>
  </si>
  <si>
    <t>BO-9</t>
  </si>
  <si>
    <t>BO-10</t>
  </si>
  <si>
    <t>BO-11</t>
  </si>
  <si>
    <t>BO-12</t>
  </si>
  <si>
    <t>BT-2</t>
  </si>
  <si>
    <t>BT-3</t>
  </si>
  <si>
    <t>BT-4</t>
  </si>
  <si>
    <t>BT-5</t>
  </si>
  <si>
    <t>BT-6</t>
  </si>
  <si>
    <t>BT-7</t>
  </si>
  <si>
    <t>BT-8</t>
  </si>
  <si>
    <t>BT-9</t>
  </si>
  <si>
    <t>BT-10</t>
  </si>
  <si>
    <t>BT-11</t>
  </si>
  <si>
    <t>BT-12</t>
  </si>
  <si>
    <t>CO-2</t>
  </si>
  <si>
    <t>CO-3</t>
  </si>
  <si>
    <t>CO-4</t>
  </si>
  <si>
    <t>CO-5</t>
  </si>
  <si>
    <t>CO-6</t>
  </si>
  <si>
    <t>CO-7</t>
  </si>
  <si>
    <t>CO-8</t>
  </si>
  <si>
    <t>CO-9</t>
  </si>
  <si>
    <t>CO-10</t>
  </si>
  <si>
    <t>CO-11</t>
  </si>
  <si>
    <t>CO-12</t>
  </si>
  <si>
    <t>G1 평균</t>
  </si>
  <si>
    <t>G2 평균</t>
  </si>
  <si>
    <t>G3 평균</t>
  </si>
  <si>
    <t>G1 vs G2 t-test</t>
  </si>
  <si>
    <t>G1 vs G3 t-test</t>
  </si>
  <si>
    <t>G2 vs G3 t-test</t>
  </si>
  <si>
    <t>[2] Within-group improvement</t>
  </si>
  <si>
    <t>PPD</t>
  </si>
  <si>
    <t>G1 개선 t-test</t>
  </si>
  <si>
    <t>G2 개선 t-test</t>
  </si>
  <si>
    <t>G3 개선 t-test</t>
  </si>
  <si>
    <t>CAL</t>
  </si>
  <si>
    <t>BDAC</t>
  </si>
  <si>
    <t>[3] Between-group difference</t>
  </si>
  <si>
    <t>ANOVA p</t>
  </si>
  <si>
    <t>335/333</t>
    <phoneticPr fontId="1" type="noConversion"/>
  </si>
  <si>
    <t>333/333</t>
    <phoneticPr fontId="1" type="noConversion"/>
  </si>
  <si>
    <t>-</t>
    <phoneticPr fontId="1" type="noConversion"/>
  </si>
  <si>
    <t>O</t>
    <phoneticPr fontId="1" type="noConversion"/>
  </si>
  <si>
    <t>[1] Baseline Comparison</t>
  </si>
  <si>
    <t>687/666</t>
    <phoneticPr fontId="1" type="noConversion"/>
  </si>
  <si>
    <t>444/666</t>
    <phoneticPr fontId="1" type="noConversion"/>
  </si>
  <si>
    <t>565/333</t>
    <phoneticPr fontId="1" type="noConversion"/>
  </si>
  <si>
    <t>676/666</t>
    <phoneticPr fontId="1" type="noConversion"/>
  </si>
  <si>
    <t>+</t>
    <phoneticPr fontId="1" type="noConversion"/>
  </si>
  <si>
    <t>-</t>
  </si>
  <si>
    <t>-</t>
    <phoneticPr fontId="1" type="noConversion"/>
  </si>
  <si>
    <t>O</t>
    <phoneticPr fontId="1" type="noConversion"/>
  </si>
  <si>
    <t>mob</t>
  </si>
  <si>
    <t>angle</t>
  </si>
  <si>
    <t>354/333</t>
    <phoneticPr fontId="1" type="noConversion"/>
  </si>
  <si>
    <t>455/433</t>
    <phoneticPr fontId="1" type="noConversion"/>
  </si>
  <si>
    <t>-</t>
    <phoneticPr fontId="1" type="noConversion"/>
  </si>
  <si>
    <t>475/333</t>
    <phoneticPr fontId="1" type="noConversion"/>
  </si>
  <si>
    <t>7/24 미내원</t>
    <phoneticPr fontId="1" type="noConversion"/>
  </si>
  <si>
    <t>O</t>
    <phoneticPr fontId="1" type="noConversion"/>
  </si>
  <si>
    <t>223/223</t>
    <phoneticPr fontId="1" type="noConversion"/>
  </si>
  <si>
    <t>423/223</t>
    <phoneticPr fontId="1" type="noConversion"/>
  </si>
  <si>
    <t>-</t>
    <phoneticPr fontId="1" type="noConversion"/>
  </si>
  <si>
    <t>O</t>
    <phoneticPr fontId="1" type="noConversion"/>
  </si>
  <si>
    <t>X</t>
    <phoneticPr fontId="1" type="noConversion"/>
  </si>
  <si>
    <t>334/333</t>
    <phoneticPr fontId="1" type="noConversion"/>
  </si>
  <si>
    <t>337/333</t>
    <phoneticPr fontId="1" type="noConversion"/>
  </si>
  <si>
    <t>336/223</t>
    <phoneticPr fontId="1" type="noConversion"/>
  </si>
  <si>
    <t>337/333</t>
    <phoneticPr fontId="1" type="noConversion"/>
  </si>
  <si>
    <t>222/222</t>
    <phoneticPr fontId="1" type="noConversion"/>
  </si>
  <si>
    <t>535/555</t>
    <phoneticPr fontId="1" type="noConversion"/>
  </si>
  <si>
    <t>1y</t>
    <phoneticPr fontId="1" type="noConversion"/>
  </si>
  <si>
    <t>1.5y</t>
    <phoneticPr fontId="1" type="noConversion"/>
  </si>
  <si>
    <t>8/18 미내원</t>
    <phoneticPr fontId="1" type="noConversion"/>
  </si>
  <si>
    <t>335/335</t>
    <phoneticPr fontId="1" type="noConversion"/>
  </si>
  <si>
    <t>336/446</t>
    <phoneticPr fontId="1" type="noConversion"/>
  </si>
  <si>
    <t>-</t>
    <phoneticPr fontId="1" type="noConversion"/>
  </si>
  <si>
    <t>O</t>
    <phoneticPr fontId="1" type="noConversion"/>
  </si>
  <si>
    <t>X</t>
    <phoneticPr fontId="1" type="noConversion"/>
  </si>
  <si>
    <t>223/222</t>
    <phoneticPr fontId="1" type="noConversion"/>
  </si>
  <si>
    <t>336/333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</si>
</sst>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0.00_ "/>
  </numFmts>
  <fonts count="7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sz val="16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35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176" fontId="0" fillId="0" borderId="0" xfId="0" applyNumberFormat="1">
      <alignment vertical="center"/>
    </xf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176" fontId="0" fillId="0" borderId="0" xfId="0" applyNumberFormat="1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9" fontId="0" fillId="0" borderId="0" xfId="0" applyNumberFormat="1">
      <alignment vertical="center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vertical="center"/>
    </xf>
    <xf numFmtId="14" fontId="0" fillId="0" borderId="0" xfId="0" applyNumberFormat="1">
      <alignment vertical="center"/>
    </xf>
    <xf numFmtId="14" fontId="5" fillId="0" borderId="0" xfId="0" applyNumberFormat="1" applyFont="1" applyAlignment="1">
      <alignment vertical="center"/>
    </xf>
    <xf numFmtId="14" fontId="4" fillId="0" borderId="0" xfId="0" applyNumberFormat="1" applyFont="1" applyAlignment="1">
      <alignment horizontal="center" vertical="center"/>
    </xf>
    <xf numFmtId="0" fontId="0" fillId="2" borderId="0" xfId="0" applyFill="1">
      <alignment vertical="center"/>
    </xf>
    <xf numFmtId="14" fontId="0" fillId="2" borderId="0" xfId="0" applyNumberFormat="1" applyFill="1">
      <alignment vertical="center"/>
    </xf>
    <xf numFmtId="0" fontId="0" fillId="3" borderId="0" xfId="0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Border="1">
      <alignment vertical="center"/>
    </xf>
    <xf numFmtId="0" fontId="0" fillId="0" borderId="0" xfId="0" applyBorder="1" applyAlignment="1">
      <alignment horizontal="center" vertical="center"/>
    </xf>
    <xf numFmtId="14" fontId="0" fillId="0" borderId="0" xfId="0" applyNumberFormat="1" applyBorder="1">
      <alignment vertical="center"/>
    </xf>
    <xf numFmtId="0" fontId="0" fillId="2" borderId="0" xfId="0" applyFill="1" applyAlignment="1">
      <alignment horizontal="center" vertical="center"/>
    </xf>
    <xf numFmtId="0" fontId="0" fillId="4" borderId="0" xfId="0" applyFill="1">
      <alignment vertical="center"/>
    </xf>
    <xf numFmtId="14" fontId="0" fillId="4" borderId="0" xfId="0" applyNumberFormat="1" applyFill="1">
      <alignment vertical="center"/>
    </xf>
    <xf numFmtId="0" fontId="0" fillId="0" borderId="0" xfId="0" applyAlignment="1">
      <alignment horizontal="center" vertical="center"/>
    </xf>
    <xf numFmtId="0" fontId="5" fillId="0" borderId="0" xfId="0" applyFont="1" applyAlignment="1">
      <alignment horizontal="center" vertical="center"/>
    </xf>
    <xf numFmtId="14" fontId="5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3" fillId="0" borderId="0" xfId="0" applyFont="1" applyAlignment="1">
      <alignment horizontal="center" vertical="center"/>
    </xf>
  </cellXfs>
  <cellStyles count="1">
    <cellStyle name="표준" xfId="0" builtinId="0"/>
  </cellStyles>
  <dxfs count="1023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A1:N40"/>
  <sheetViews>
    <sheetView topLeftCell="A7" workbookViewId="0">
      <selection activeCell="J18" sqref="J18"/>
    </sheetView>
  </sheetViews>
  <sheetFormatPr defaultRowHeight="16.5" x14ac:dyDescent="0.3"/>
  <cols>
    <col min="1" max="1" width="5.75" style="9" customWidth="1"/>
    <col min="3" max="3" width="11" customWidth="1"/>
    <col min="4" max="4" width="7.375" bestFit="1" customWidth="1"/>
    <col min="5" max="5" width="21" customWidth="1"/>
    <col min="6" max="7" width="11.125" bestFit="1" customWidth="1"/>
    <col min="8" max="8" width="7.875" customWidth="1"/>
    <col min="9" max="9" width="11.125" style="16" bestFit="1" customWidth="1"/>
    <col min="10" max="10" width="8.625" customWidth="1"/>
    <col min="11" max="11" width="22.375" customWidth="1"/>
    <col min="12" max="12" width="11.875" bestFit="1" customWidth="1"/>
  </cols>
  <sheetData>
    <row r="1" spans="1:12" ht="20.25" x14ac:dyDescent="0.3">
      <c r="A1" s="30" t="s">
        <v>189</v>
      </c>
      <c r="B1" s="30"/>
      <c r="C1" s="31">
        <v>45891</v>
      </c>
      <c r="D1" s="31"/>
      <c r="E1" s="15"/>
      <c r="F1" s="15"/>
      <c r="G1" s="15"/>
      <c r="H1" s="15"/>
      <c r="I1" s="17"/>
      <c r="J1" s="30" t="s">
        <v>105</v>
      </c>
      <c r="K1" s="30"/>
      <c r="L1" s="30"/>
    </row>
    <row r="2" spans="1:12" x14ac:dyDescent="0.3">
      <c r="A2" s="14" t="s">
        <v>0</v>
      </c>
      <c r="B2" s="14" t="s">
        <v>1</v>
      </c>
      <c r="C2" s="14" t="s">
        <v>2</v>
      </c>
      <c r="D2" s="14" t="s">
        <v>66</v>
      </c>
      <c r="E2" s="14" t="s">
        <v>44</v>
      </c>
      <c r="F2" s="14" t="s">
        <v>106</v>
      </c>
      <c r="G2" s="14" t="s">
        <v>45</v>
      </c>
      <c r="H2" s="14" t="s">
        <v>50</v>
      </c>
      <c r="I2" s="18" t="s">
        <v>48</v>
      </c>
      <c r="J2" s="14" t="s">
        <v>50</v>
      </c>
      <c r="K2" s="14" t="s">
        <v>43</v>
      </c>
      <c r="L2" s="14" t="s">
        <v>94</v>
      </c>
    </row>
    <row r="3" spans="1:12" x14ac:dyDescent="0.3">
      <c r="A3" s="9">
        <v>1</v>
      </c>
      <c r="B3" t="s">
        <v>32</v>
      </c>
      <c r="C3">
        <v>6080782</v>
      </c>
      <c r="D3" t="s">
        <v>67</v>
      </c>
      <c r="E3" t="s">
        <v>46</v>
      </c>
      <c r="F3" s="16">
        <v>45517</v>
      </c>
      <c r="G3" s="16">
        <v>45875</v>
      </c>
      <c r="H3" t="s">
        <v>551</v>
      </c>
      <c r="I3" s="16">
        <v>46056</v>
      </c>
      <c r="J3" t="s">
        <v>552</v>
      </c>
      <c r="L3" t="s">
        <v>91</v>
      </c>
    </row>
    <row r="4" spans="1:12" x14ac:dyDescent="0.3">
      <c r="A4" s="9">
        <v>2</v>
      </c>
      <c r="B4" t="s">
        <v>32</v>
      </c>
      <c r="C4">
        <v>6080782</v>
      </c>
      <c r="D4" t="s">
        <v>68</v>
      </c>
      <c r="E4" t="s">
        <v>47</v>
      </c>
      <c r="F4" s="16">
        <v>45531</v>
      </c>
      <c r="G4" s="16">
        <v>45875</v>
      </c>
      <c r="H4" t="s">
        <v>551</v>
      </c>
      <c r="I4" s="16">
        <v>46056</v>
      </c>
      <c r="J4" t="s">
        <v>552</v>
      </c>
      <c r="K4" t="s">
        <v>403</v>
      </c>
      <c r="L4" t="s">
        <v>92</v>
      </c>
    </row>
    <row r="5" spans="1:12" x14ac:dyDescent="0.3">
      <c r="A5" s="21">
        <v>3</v>
      </c>
      <c r="B5" s="27" t="s">
        <v>49</v>
      </c>
      <c r="C5" s="27">
        <v>6011478</v>
      </c>
      <c r="D5" s="27" t="s">
        <v>69</v>
      </c>
      <c r="E5" s="27" t="s">
        <v>62</v>
      </c>
      <c r="F5" s="28">
        <v>45567</v>
      </c>
      <c r="G5" s="28">
        <v>45461</v>
      </c>
      <c r="H5" s="27" t="s">
        <v>405</v>
      </c>
      <c r="I5" s="28">
        <v>45908</v>
      </c>
      <c r="J5" s="27" t="s">
        <v>401</v>
      </c>
      <c r="K5" s="27" t="s">
        <v>406</v>
      </c>
      <c r="L5" s="27" t="s">
        <v>93</v>
      </c>
    </row>
    <row r="6" spans="1:12" x14ac:dyDescent="0.3">
      <c r="A6" s="11">
        <v>4</v>
      </c>
      <c r="B6" t="s">
        <v>65</v>
      </c>
      <c r="C6">
        <v>3558344</v>
      </c>
      <c r="D6" t="s">
        <v>70</v>
      </c>
      <c r="E6" t="s">
        <v>71</v>
      </c>
      <c r="F6" s="16">
        <v>45602</v>
      </c>
      <c r="G6" s="16">
        <v>45804</v>
      </c>
      <c r="H6" t="s">
        <v>358</v>
      </c>
      <c r="I6" s="16">
        <v>45987</v>
      </c>
      <c r="J6" t="s">
        <v>7</v>
      </c>
      <c r="L6" t="s">
        <v>92</v>
      </c>
    </row>
    <row r="7" spans="1:12" x14ac:dyDescent="0.3">
      <c r="A7" s="11">
        <v>5</v>
      </c>
      <c r="B7" t="s">
        <v>96</v>
      </c>
      <c r="C7">
        <v>1403078</v>
      </c>
      <c r="D7" t="s">
        <v>97</v>
      </c>
      <c r="E7" t="s">
        <v>47</v>
      </c>
      <c r="F7" s="16">
        <v>45615</v>
      </c>
      <c r="G7" s="16">
        <v>45799</v>
      </c>
      <c r="H7" t="s">
        <v>6</v>
      </c>
      <c r="I7" s="16">
        <v>45981</v>
      </c>
      <c r="J7" t="s">
        <v>7</v>
      </c>
      <c r="L7" t="s">
        <v>91</v>
      </c>
    </row>
    <row r="8" spans="1:12" x14ac:dyDescent="0.3">
      <c r="A8" s="21">
        <v>6</v>
      </c>
      <c r="B8" s="27" t="s">
        <v>61</v>
      </c>
      <c r="C8" s="27">
        <v>6011478</v>
      </c>
      <c r="D8" s="27" t="s">
        <v>107</v>
      </c>
      <c r="E8" s="27" t="s">
        <v>47</v>
      </c>
      <c r="F8" s="28">
        <v>45616</v>
      </c>
      <c r="G8" s="28">
        <v>45461</v>
      </c>
      <c r="H8" s="27" t="s">
        <v>6</v>
      </c>
      <c r="I8" s="28">
        <v>45908</v>
      </c>
      <c r="J8" s="27" t="s">
        <v>400</v>
      </c>
      <c r="K8" s="27" t="s">
        <v>407</v>
      </c>
      <c r="L8" s="27" t="s">
        <v>93</v>
      </c>
    </row>
    <row r="9" spans="1:12" x14ac:dyDescent="0.3">
      <c r="A9" s="12">
        <v>7</v>
      </c>
      <c r="B9" t="s">
        <v>81</v>
      </c>
      <c r="C9">
        <v>6040049</v>
      </c>
      <c r="D9" t="s">
        <v>82</v>
      </c>
      <c r="E9" t="s">
        <v>131</v>
      </c>
      <c r="F9" s="16">
        <v>45621</v>
      </c>
      <c r="G9" s="16">
        <v>45810</v>
      </c>
      <c r="H9" t="s">
        <v>6</v>
      </c>
      <c r="I9" s="16">
        <v>45985</v>
      </c>
      <c r="J9" t="s">
        <v>7</v>
      </c>
      <c r="L9" t="s">
        <v>92</v>
      </c>
    </row>
    <row r="10" spans="1:12" x14ac:dyDescent="0.3">
      <c r="A10" s="29">
        <v>8</v>
      </c>
      <c r="B10" t="s">
        <v>128</v>
      </c>
      <c r="C10">
        <v>6080611</v>
      </c>
      <c r="D10" t="s">
        <v>159</v>
      </c>
      <c r="E10" t="s">
        <v>131</v>
      </c>
      <c r="F10" s="16">
        <v>45635</v>
      </c>
      <c r="G10" s="16">
        <v>45842</v>
      </c>
      <c r="H10" t="s">
        <v>290</v>
      </c>
      <c r="I10" s="16">
        <v>46027</v>
      </c>
      <c r="J10" t="s">
        <v>429</v>
      </c>
      <c r="K10" t="s">
        <v>169</v>
      </c>
      <c r="L10" t="s">
        <v>91</v>
      </c>
    </row>
    <row r="11" spans="1:12" x14ac:dyDescent="0.3">
      <c r="A11" s="12">
        <v>10</v>
      </c>
      <c r="B11" t="s">
        <v>165</v>
      </c>
      <c r="C11">
        <v>6081012</v>
      </c>
      <c r="D11" t="s">
        <v>166</v>
      </c>
      <c r="E11" t="s">
        <v>168</v>
      </c>
      <c r="F11" s="16">
        <v>45652</v>
      </c>
      <c r="G11" s="16">
        <v>45833</v>
      </c>
      <c r="H11" t="s">
        <v>290</v>
      </c>
      <c r="I11" s="16">
        <v>45922</v>
      </c>
      <c r="J11" t="s">
        <v>430</v>
      </c>
      <c r="L11" t="s">
        <v>91</v>
      </c>
    </row>
    <row r="12" spans="1:12" x14ac:dyDescent="0.3">
      <c r="A12" s="12">
        <v>11</v>
      </c>
      <c r="B12" t="s">
        <v>164</v>
      </c>
      <c r="C12">
        <v>6074560</v>
      </c>
      <c r="D12" t="s">
        <v>167</v>
      </c>
      <c r="E12" t="s">
        <v>168</v>
      </c>
      <c r="F12" s="16">
        <v>45653</v>
      </c>
      <c r="G12" s="16">
        <v>45859</v>
      </c>
      <c r="H12" t="s">
        <v>6</v>
      </c>
      <c r="I12" s="16">
        <v>45922</v>
      </c>
      <c r="J12" t="s">
        <v>401</v>
      </c>
      <c r="L12" t="s">
        <v>179</v>
      </c>
    </row>
    <row r="13" spans="1:12" x14ac:dyDescent="0.3">
      <c r="A13" s="12">
        <v>12</v>
      </c>
      <c r="B13" t="s">
        <v>178</v>
      </c>
      <c r="C13">
        <v>6082791</v>
      </c>
      <c r="D13" t="s">
        <v>142</v>
      </c>
      <c r="E13" t="s">
        <v>46</v>
      </c>
      <c r="F13" s="16">
        <v>45663</v>
      </c>
      <c r="G13" s="16">
        <v>45853</v>
      </c>
      <c r="H13" t="s">
        <v>6</v>
      </c>
      <c r="I13" s="16">
        <v>46034</v>
      </c>
      <c r="J13" t="s">
        <v>7</v>
      </c>
      <c r="L13" t="s">
        <v>91</v>
      </c>
    </row>
    <row r="14" spans="1:12" x14ac:dyDescent="0.3">
      <c r="A14" s="12">
        <v>13</v>
      </c>
      <c r="B14" t="s">
        <v>141</v>
      </c>
      <c r="C14">
        <v>3552749</v>
      </c>
      <c r="D14" t="s">
        <v>142</v>
      </c>
      <c r="E14" t="s">
        <v>131</v>
      </c>
      <c r="F14" s="16">
        <v>45671</v>
      </c>
      <c r="G14" s="16">
        <v>45842</v>
      </c>
      <c r="H14" t="s">
        <v>290</v>
      </c>
      <c r="I14" s="16">
        <v>46027</v>
      </c>
      <c r="J14" t="s">
        <v>429</v>
      </c>
      <c r="L14" t="s">
        <v>91</v>
      </c>
    </row>
    <row r="15" spans="1:12" x14ac:dyDescent="0.3">
      <c r="A15" s="12">
        <v>14</v>
      </c>
      <c r="B15" t="s">
        <v>201</v>
      </c>
      <c r="C15">
        <v>3658017</v>
      </c>
      <c r="D15" t="s">
        <v>202</v>
      </c>
      <c r="E15" t="s">
        <v>131</v>
      </c>
      <c r="F15" s="16">
        <v>45680</v>
      </c>
      <c r="G15" s="16">
        <v>45862</v>
      </c>
      <c r="H15" t="s">
        <v>6</v>
      </c>
      <c r="I15" s="16">
        <v>46024</v>
      </c>
      <c r="J15" t="s">
        <v>7</v>
      </c>
      <c r="L15" t="s">
        <v>203</v>
      </c>
    </row>
    <row r="16" spans="1:12" x14ac:dyDescent="0.3">
      <c r="A16" s="12">
        <v>16</v>
      </c>
      <c r="B16" t="s">
        <v>170</v>
      </c>
      <c r="C16">
        <v>3175978</v>
      </c>
      <c r="D16" t="s">
        <v>180</v>
      </c>
      <c r="E16" t="s">
        <v>47</v>
      </c>
      <c r="F16" s="16">
        <v>45688</v>
      </c>
      <c r="G16" s="16">
        <v>45875</v>
      </c>
      <c r="H16" t="s">
        <v>6</v>
      </c>
      <c r="I16" s="16">
        <v>46064</v>
      </c>
      <c r="J16" t="s">
        <v>7</v>
      </c>
      <c r="L16" t="s">
        <v>93</v>
      </c>
    </row>
    <row r="17" spans="1:14" x14ac:dyDescent="0.3">
      <c r="A17" s="12">
        <v>17</v>
      </c>
      <c r="B17" t="s">
        <v>190</v>
      </c>
      <c r="C17">
        <v>3684270</v>
      </c>
      <c r="D17" t="s">
        <v>191</v>
      </c>
      <c r="E17" t="s">
        <v>237</v>
      </c>
      <c r="F17" s="16">
        <v>45700</v>
      </c>
      <c r="G17" s="16">
        <v>45873</v>
      </c>
      <c r="H17" t="s">
        <v>6</v>
      </c>
      <c r="I17" s="16">
        <v>46064</v>
      </c>
      <c r="J17" t="s">
        <v>7</v>
      </c>
      <c r="L17" t="s">
        <v>192</v>
      </c>
    </row>
    <row r="18" spans="1:14" x14ac:dyDescent="0.3">
      <c r="A18" s="12">
        <v>18</v>
      </c>
      <c r="B18" t="s">
        <v>129</v>
      </c>
      <c r="C18">
        <v>1856096</v>
      </c>
      <c r="D18" t="s">
        <v>130</v>
      </c>
      <c r="E18" t="s">
        <v>131</v>
      </c>
      <c r="F18" s="16">
        <v>45702</v>
      </c>
      <c r="G18" s="16">
        <v>45891</v>
      </c>
      <c r="H18" t="s">
        <v>6</v>
      </c>
      <c r="I18" s="16">
        <v>45708</v>
      </c>
      <c r="J18" t="s">
        <v>7</v>
      </c>
      <c r="L18" t="s">
        <v>91</v>
      </c>
    </row>
    <row r="19" spans="1:14" x14ac:dyDescent="0.3">
      <c r="A19" s="32" t="s">
        <v>395</v>
      </c>
      <c r="B19" s="32"/>
      <c r="C19" s="32"/>
      <c r="D19" s="32"/>
      <c r="E19" s="32"/>
      <c r="F19" s="32"/>
      <c r="G19" s="32"/>
      <c r="H19" s="32"/>
      <c r="I19" s="32"/>
      <c r="J19" s="32"/>
      <c r="K19" s="32"/>
      <c r="L19" s="32"/>
    </row>
    <row r="20" spans="1:14" x14ac:dyDescent="0.3">
      <c r="A20" s="26">
        <v>9</v>
      </c>
      <c r="B20" s="19" t="s">
        <v>63</v>
      </c>
      <c r="C20" s="19">
        <v>6064184</v>
      </c>
      <c r="D20" s="19" t="s">
        <v>67</v>
      </c>
      <c r="E20" s="19" t="s">
        <v>46</v>
      </c>
      <c r="F20" s="20">
        <v>45642</v>
      </c>
      <c r="G20" s="20">
        <v>45695</v>
      </c>
      <c r="H20" s="19" t="s">
        <v>226</v>
      </c>
      <c r="I20" s="20"/>
      <c r="J20" s="19"/>
      <c r="K20" s="19" t="s">
        <v>365</v>
      </c>
      <c r="L20" s="19" t="s">
        <v>93</v>
      </c>
    </row>
    <row r="21" spans="1:14" x14ac:dyDescent="0.3">
      <c r="A21" s="26">
        <v>15</v>
      </c>
      <c r="B21" s="19" t="s">
        <v>64</v>
      </c>
      <c r="C21" s="19">
        <v>2233135</v>
      </c>
      <c r="D21" s="19" t="s">
        <v>213</v>
      </c>
      <c r="E21" s="19" t="s">
        <v>47</v>
      </c>
      <c r="F21" s="20">
        <v>45681</v>
      </c>
      <c r="G21" s="20">
        <v>45769</v>
      </c>
      <c r="H21" s="19" t="s">
        <v>5</v>
      </c>
      <c r="I21" s="20"/>
      <c r="J21" s="19"/>
      <c r="K21" s="19" t="s">
        <v>402</v>
      </c>
      <c r="L21" s="19" t="s">
        <v>93</v>
      </c>
    </row>
    <row r="22" spans="1:14" x14ac:dyDescent="0.3">
      <c r="A22" s="21">
        <v>19</v>
      </c>
      <c r="B22" t="s">
        <v>262</v>
      </c>
      <c r="C22">
        <v>6084848</v>
      </c>
      <c r="D22" t="s">
        <v>263</v>
      </c>
      <c r="E22" t="s">
        <v>131</v>
      </c>
      <c r="F22" s="16">
        <v>45726</v>
      </c>
      <c r="G22" s="16">
        <v>45818</v>
      </c>
      <c r="H22" t="s">
        <v>5</v>
      </c>
      <c r="I22" s="16">
        <v>45916</v>
      </c>
      <c r="J22" t="s">
        <v>6</v>
      </c>
      <c r="L22" t="s">
        <v>264</v>
      </c>
    </row>
    <row r="23" spans="1:14" x14ac:dyDescent="0.3">
      <c r="A23" s="26">
        <v>20</v>
      </c>
      <c r="B23" s="19" t="s">
        <v>64</v>
      </c>
      <c r="C23" s="19">
        <v>2233135</v>
      </c>
      <c r="D23" s="19" t="s">
        <v>214</v>
      </c>
      <c r="E23" s="19" t="s">
        <v>276</v>
      </c>
      <c r="F23" s="20">
        <v>45726</v>
      </c>
      <c r="G23" s="20">
        <v>45769</v>
      </c>
      <c r="H23" s="19" t="s">
        <v>277</v>
      </c>
      <c r="I23" s="20"/>
      <c r="J23" s="19"/>
      <c r="K23" s="19" t="s">
        <v>402</v>
      </c>
      <c r="L23" s="19" t="s">
        <v>93</v>
      </c>
    </row>
    <row r="24" spans="1:14" x14ac:dyDescent="0.3">
      <c r="A24" s="24">
        <v>21</v>
      </c>
      <c r="B24" s="23" t="s">
        <v>262</v>
      </c>
      <c r="C24" s="23">
        <v>6084848</v>
      </c>
      <c r="D24" s="23" t="s">
        <v>265</v>
      </c>
      <c r="E24" s="23" t="s">
        <v>46</v>
      </c>
      <c r="F24" s="25">
        <v>45742</v>
      </c>
      <c r="G24" s="25">
        <v>45818</v>
      </c>
      <c r="H24" s="23" t="s">
        <v>5</v>
      </c>
      <c r="I24" s="25">
        <v>45916</v>
      </c>
      <c r="J24" s="23" t="s">
        <v>6</v>
      </c>
      <c r="K24" s="23"/>
      <c r="L24" s="23" t="s">
        <v>264</v>
      </c>
      <c r="M24" s="23"/>
      <c r="N24" s="23"/>
    </row>
    <row r="25" spans="1:14" x14ac:dyDescent="0.3">
      <c r="A25" s="33" t="s">
        <v>404</v>
      </c>
      <c r="B25" s="33"/>
      <c r="C25" s="33"/>
      <c r="D25" s="33"/>
      <c r="E25" s="33"/>
      <c r="F25" s="33"/>
      <c r="G25" s="33"/>
      <c r="H25" s="33"/>
      <c r="I25" s="33"/>
      <c r="J25" s="33"/>
      <c r="K25" s="33"/>
      <c r="L25" s="33"/>
      <c r="M25" s="23"/>
      <c r="N25" s="23"/>
    </row>
    <row r="26" spans="1:14" x14ac:dyDescent="0.3">
      <c r="A26" s="12">
        <v>22</v>
      </c>
      <c r="B26" t="s">
        <v>211</v>
      </c>
      <c r="C26">
        <v>6084204</v>
      </c>
      <c r="D26" t="s">
        <v>212</v>
      </c>
      <c r="E26" t="s">
        <v>320</v>
      </c>
      <c r="F26" s="16">
        <v>45763</v>
      </c>
      <c r="G26" s="16">
        <v>45861</v>
      </c>
      <c r="H26" t="s">
        <v>5</v>
      </c>
      <c r="I26" s="16">
        <v>45959</v>
      </c>
      <c r="J26" t="s">
        <v>6</v>
      </c>
      <c r="L26" t="s">
        <v>91</v>
      </c>
      <c r="N26" s="23"/>
    </row>
    <row r="27" spans="1:14" x14ac:dyDescent="0.3">
      <c r="A27" s="26">
        <v>23</v>
      </c>
      <c r="B27" s="19" t="s">
        <v>321</v>
      </c>
      <c r="C27" s="19">
        <v>3050279</v>
      </c>
      <c r="D27" s="19" t="s">
        <v>322</v>
      </c>
      <c r="E27" s="19" t="s">
        <v>323</v>
      </c>
      <c r="F27" s="20">
        <v>45765</v>
      </c>
      <c r="G27" s="20">
        <v>45810</v>
      </c>
      <c r="H27" s="19" t="s">
        <v>277</v>
      </c>
      <c r="I27" s="20"/>
      <c r="J27" s="19"/>
      <c r="K27" s="19" t="s">
        <v>553</v>
      </c>
      <c r="L27" s="19" t="s">
        <v>91</v>
      </c>
    </row>
    <row r="28" spans="1:14" x14ac:dyDescent="0.3">
      <c r="A28" s="26">
        <v>24</v>
      </c>
      <c r="B28" s="19" t="s">
        <v>349</v>
      </c>
      <c r="C28" s="19">
        <v>6084228</v>
      </c>
      <c r="D28" s="19" t="s">
        <v>350</v>
      </c>
      <c r="E28" s="19" t="s">
        <v>47</v>
      </c>
      <c r="F28" s="20">
        <v>45770</v>
      </c>
      <c r="G28" s="20">
        <v>45800</v>
      </c>
      <c r="H28" s="19" t="s">
        <v>377</v>
      </c>
      <c r="I28" s="20"/>
      <c r="J28" s="19"/>
      <c r="K28" s="19" t="s">
        <v>538</v>
      </c>
      <c r="L28" s="19" t="s">
        <v>91</v>
      </c>
    </row>
    <row r="29" spans="1:14" x14ac:dyDescent="0.3">
      <c r="A29" s="12">
        <v>25</v>
      </c>
      <c r="B29" t="s">
        <v>210</v>
      </c>
      <c r="C29">
        <v>1720681</v>
      </c>
      <c r="D29" t="s">
        <v>209</v>
      </c>
      <c r="E29" t="s">
        <v>348</v>
      </c>
      <c r="F29" s="16">
        <v>45771</v>
      </c>
      <c r="G29" s="16">
        <v>45870</v>
      </c>
      <c r="H29" t="s">
        <v>5</v>
      </c>
      <c r="I29" s="16">
        <v>45982</v>
      </c>
      <c r="J29" t="s">
        <v>6</v>
      </c>
      <c r="L29" t="s">
        <v>91</v>
      </c>
    </row>
    <row r="30" spans="1:14" x14ac:dyDescent="0.3">
      <c r="A30" s="12">
        <v>26</v>
      </c>
      <c r="B30" t="s">
        <v>293</v>
      </c>
      <c r="C30">
        <v>3129880</v>
      </c>
      <c r="D30" t="s">
        <v>295</v>
      </c>
      <c r="E30" t="s">
        <v>378</v>
      </c>
      <c r="F30" s="16">
        <v>45806</v>
      </c>
      <c r="G30" s="16">
        <v>45854</v>
      </c>
      <c r="H30" t="s">
        <v>277</v>
      </c>
      <c r="I30" s="16">
        <v>45945</v>
      </c>
      <c r="J30" t="s">
        <v>5</v>
      </c>
      <c r="L30" t="s">
        <v>294</v>
      </c>
    </row>
    <row r="31" spans="1:14" x14ac:dyDescent="0.3">
      <c r="A31" s="12">
        <v>27</v>
      </c>
      <c r="B31" t="s">
        <v>291</v>
      </c>
      <c r="C31">
        <v>1584929</v>
      </c>
      <c r="D31" t="s">
        <v>292</v>
      </c>
      <c r="E31" t="s">
        <v>47</v>
      </c>
      <c r="F31" s="16">
        <v>45812</v>
      </c>
      <c r="G31" s="16">
        <v>45854</v>
      </c>
      <c r="H31" t="s">
        <v>277</v>
      </c>
      <c r="I31" s="16">
        <v>45945</v>
      </c>
      <c r="J31" t="s">
        <v>5</v>
      </c>
      <c r="L31" t="s">
        <v>93</v>
      </c>
    </row>
    <row r="32" spans="1:14" x14ac:dyDescent="0.3">
      <c r="A32" s="12">
        <v>28</v>
      </c>
      <c r="F32" s="16"/>
      <c r="G32" s="16"/>
    </row>
    <row r="33" spans="1:12" x14ac:dyDescent="0.3">
      <c r="A33" s="12">
        <v>29</v>
      </c>
    </row>
    <row r="34" spans="1:12" x14ac:dyDescent="0.3">
      <c r="A34" s="12">
        <v>30</v>
      </c>
    </row>
    <row r="36" spans="1:12" x14ac:dyDescent="0.3">
      <c r="A36" s="11"/>
      <c r="B36" t="s">
        <v>296</v>
      </c>
      <c r="C36">
        <v>3010259</v>
      </c>
      <c r="K36" t="s">
        <v>297</v>
      </c>
      <c r="L36" t="s">
        <v>298</v>
      </c>
    </row>
    <row r="37" spans="1:12" x14ac:dyDescent="0.3">
      <c r="A37" s="11"/>
    </row>
    <row r="38" spans="1:12" x14ac:dyDescent="0.3">
      <c r="A38" s="11"/>
    </row>
    <row r="39" spans="1:12" x14ac:dyDescent="0.3">
      <c r="A39" s="11"/>
    </row>
    <row r="40" spans="1:12" x14ac:dyDescent="0.3">
      <c r="A40" s="11"/>
    </row>
  </sheetData>
  <mergeCells count="5">
    <mergeCell ref="J1:L1"/>
    <mergeCell ref="A1:B1"/>
    <mergeCell ref="C1:D1"/>
    <mergeCell ref="A19:L19"/>
    <mergeCell ref="A25:L25"/>
  </mergeCells>
  <phoneticPr fontId="1" type="noConversion"/>
  <conditionalFormatting sqref="F32">
    <cfRule type="expression" dxfId="1022" priority="17">
      <formula>AND(F32&gt;=TODAY(), F32&lt;=EDATE(TODAY(), 1))</formula>
    </cfRule>
  </conditionalFormatting>
  <conditionalFormatting sqref="I32:I1048576 I1:I9 I26:I30 I20:I24 I11:I18">
    <cfRule type="expression" dxfId="1021" priority="9">
      <formula>AND(I1&gt;=TODAY(), I1&lt;=TODAY()+14)</formula>
    </cfRule>
    <cfRule type="expression" dxfId="1020" priority="10">
      <formula>AND(I1&gt;=$C$1, I1&lt;=TODAY())</formula>
    </cfRule>
  </conditionalFormatting>
  <conditionalFormatting sqref="I31">
    <cfRule type="expression" dxfId="1019" priority="5">
      <formula>AND(I31&gt;=TODAY(), I31&lt;=TODAY()+14)</formula>
    </cfRule>
    <cfRule type="expression" dxfId="1018" priority="6">
      <formula>AND(I31&gt;=$C$1, I31&lt;=TODAY())</formula>
    </cfRule>
  </conditionalFormatting>
  <conditionalFormatting sqref="F31">
    <cfRule type="expression" dxfId="1017" priority="3">
      <formula>AND(F31&gt;=TODAY(), F31&lt;=EDATE(TODAY(), 1))</formula>
    </cfRule>
  </conditionalFormatting>
  <conditionalFormatting sqref="I10">
    <cfRule type="expression" dxfId="1016" priority="1">
      <formula>AND(I10&gt;=TODAY(), I10&lt;=TODAY()+14)</formula>
    </cfRule>
    <cfRule type="expression" dxfId="1015" priority="2">
      <formula>AND(I10&gt;=$C$1, I10&lt;=TODAY())</formula>
    </cfRule>
  </conditionalFormatting>
  <pageMargins left="0.7" right="0.7" top="0.75" bottom="0.75" header="0.3" footer="0.3"/>
  <pageSetup paperSize="9" scale="85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Z61"/>
  <sheetViews>
    <sheetView zoomScale="85" zoomScaleNormal="85" workbookViewId="0">
      <pane ySplit="2" topLeftCell="A3" activePane="bottomLeft" state="frozen"/>
      <selection pane="bottomLeft" activeCell="W40" sqref="W40"/>
    </sheetView>
  </sheetViews>
  <sheetFormatPr defaultRowHeight="16.5" x14ac:dyDescent="0.3"/>
  <cols>
    <col min="1" max="1" width="9" style="1"/>
    <col min="3" max="3" width="9" customWidth="1"/>
    <col min="4" max="4" width="11.5" customWidth="1"/>
    <col min="5" max="5" width="3.25" customWidth="1"/>
    <col min="6" max="6" width="11.625" bestFit="1" customWidth="1"/>
    <col min="7" max="7" width="3.375" customWidth="1"/>
    <col min="9" max="9" width="8.125" customWidth="1"/>
    <col min="10" max="10" width="11.25" style="2" bestFit="1" customWidth="1"/>
    <col min="11" max="11" width="8" customWidth="1"/>
    <col min="12" max="12" width="11" style="2" bestFit="1" customWidth="1"/>
    <col min="13" max="13" width="5.25" bestFit="1" customWidth="1"/>
    <col min="14" max="14" width="5" bestFit="1" customWidth="1"/>
    <col min="15" max="16" width="5" customWidth="1"/>
    <col min="17" max="17" width="7.625" bestFit="1" customWidth="1"/>
    <col min="18" max="18" width="7.625" customWidth="1"/>
    <col min="19" max="19" width="12.875" customWidth="1"/>
    <col min="20" max="20" width="12.625" bestFit="1" customWidth="1"/>
    <col min="21" max="21" width="10.25" bestFit="1" customWidth="1"/>
    <col min="22" max="22" width="4.5" customWidth="1"/>
  </cols>
  <sheetData>
    <row r="1" spans="1:26" ht="40.5" customHeight="1" x14ac:dyDescent="0.3">
      <c r="A1" s="34" t="s">
        <v>15</v>
      </c>
      <c r="B1" s="34"/>
      <c r="C1" s="34"/>
      <c r="D1" s="34"/>
      <c r="E1" s="34"/>
      <c r="F1" s="34"/>
      <c r="I1" s="32" t="s">
        <v>18</v>
      </c>
      <c r="J1" s="32"/>
      <c r="K1" s="32"/>
      <c r="L1" s="32"/>
      <c r="M1" s="32"/>
      <c r="N1" s="32"/>
      <c r="O1" s="8"/>
      <c r="Q1" s="32" t="s">
        <v>19</v>
      </c>
      <c r="R1" s="32"/>
      <c r="S1" s="32"/>
      <c r="T1" s="32"/>
      <c r="U1" s="32"/>
    </row>
    <row r="2" spans="1:26" ht="33" x14ac:dyDescent="0.3">
      <c r="A2" s="1" t="s">
        <v>0</v>
      </c>
      <c r="B2" s="1" t="s">
        <v>1</v>
      </c>
      <c r="C2" s="1" t="s">
        <v>2</v>
      </c>
      <c r="D2" s="4" t="s">
        <v>29</v>
      </c>
      <c r="E2" s="1"/>
      <c r="F2" s="1" t="s">
        <v>3</v>
      </c>
      <c r="G2" s="1"/>
      <c r="H2" s="1"/>
      <c r="I2" s="1" t="s">
        <v>8</v>
      </c>
      <c r="J2" s="5" t="s">
        <v>12</v>
      </c>
      <c r="K2" s="1" t="s">
        <v>9</v>
      </c>
      <c r="L2" s="5" t="s">
        <v>13</v>
      </c>
      <c r="M2" s="1" t="s">
        <v>10</v>
      </c>
      <c r="N2" s="1" t="s">
        <v>11</v>
      </c>
      <c r="O2" s="8" t="s">
        <v>41</v>
      </c>
      <c r="P2" s="1"/>
      <c r="Q2" s="1" t="s">
        <v>16</v>
      </c>
      <c r="R2" s="1" t="s">
        <v>17</v>
      </c>
      <c r="S2" s="3" t="s">
        <v>28</v>
      </c>
      <c r="T2" s="6" t="s">
        <v>26</v>
      </c>
      <c r="U2" s="6" t="s">
        <v>27</v>
      </c>
      <c r="V2" s="7"/>
      <c r="W2" s="7" t="s">
        <v>14</v>
      </c>
      <c r="X2" s="7" t="s">
        <v>23</v>
      </c>
      <c r="Y2" s="7" t="s">
        <v>24</v>
      </c>
      <c r="Z2" s="7" t="s">
        <v>43</v>
      </c>
    </row>
    <row r="3" spans="1:26" x14ac:dyDescent="0.3">
      <c r="A3" s="1">
        <v>1</v>
      </c>
      <c r="B3" t="s">
        <v>132</v>
      </c>
      <c r="C3">
        <v>6040049</v>
      </c>
      <c r="D3" t="s">
        <v>133</v>
      </c>
      <c r="F3" s="16">
        <v>45621</v>
      </c>
      <c r="H3" t="s">
        <v>4</v>
      </c>
      <c r="I3" t="s">
        <v>134</v>
      </c>
      <c r="J3" s="2">
        <f>자릿수평균계산(I3)</f>
        <v>3.5</v>
      </c>
      <c r="K3" t="s">
        <v>135</v>
      </c>
      <c r="L3" s="2">
        <f>자릿수평균계산(K3)</f>
        <v>4.333333333333333</v>
      </c>
      <c r="M3" t="s">
        <v>21</v>
      </c>
      <c r="N3" t="s">
        <v>136</v>
      </c>
      <c r="O3">
        <v>0</v>
      </c>
      <c r="Q3">
        <v>5</v>
      </c>
      <c r="R3">
        <v>9</v>
      </c>
      <c r="S3">
        <f>IF(AND(ISNUMBER(R3), ISNUMBER(Q3)), R3 - Q3, "")</f>
        <v>4</v>
      </c>
      <c r="T3">
        <v>30</v>
      </c>
      <c r="W3" t="s">
        <v>22</v>
      </c>
      <c r="X3" t="s">
        <v>22</v>
      </c>
      <c r="Y3" t="s">
        <v>22</v>
      </c>
    </row>
    <row r="4" spans="1:26" x14ac:dyDescent="0.3">
      <c r="D4" t="s">
        <v>53</v>
      </c>
      <c r="F4" s="16">
        <v>45726</v>
      </c>
      <c r="H4" t="s">
        <v>5</v>
      </c>
      <c r="I4" t="s">
        <v>278</v>
      </c>
      <c r="J4" s="2">
        <f>자릿수평균계산(I4)</f>
        <v>2.5</v>
      </c>
      <c r="K4" t="s">
        <v>279</v>
      </c>
      <c r="L4" s="2">
        <f>자릿수평균계산(K4)</f>
        <v>3.1666666666666665</v>
      </c>
      <c r="M4" t="s">
        <v>280</v>
      </c>
      <c r="N4" s="2" t="s">
        <v>280</v>
      </c>
      <c r="O4">
        <v>0</v>
      </c>
      <c r="Q4">
        <v>2</v>
      </c>
      <c r="R4">
        <v>2</v>
      </c>
      <c r="S4">
        <f t="shared" ref="S4:S61" si="0">IF(AND(ISNUMBER(R4), ISNUMBER(Q4)), R4 - Q4, "")</f>
        <v>0</v>
      </c>
      <c r="T4">
        <v>0</v>
      </c>
      <c r="U4" s="13">
        <v>1</v>
      </c>
      <c r="W4" t="s">
        <v>281</v>
      </c>
      <c r="X4" t="s">
        <v>282</v>
      </c>
      <c r="Y4" t="s">
        <v>281</v>
      </c>
    </row>
    <row r="5" spans="1:26" x14ac:dyDescent="0.3">
      <c r="F5" s="16">
        <v>45810</v>
      </c>
      <c r="H5" t="s">
        <v>6</v>
      </c>
      <c r="I5" t="s">
        <v>396</v>
      </c>
      <c r="J5" s="2">
        <f>자릿수평균계산(I5)</f>
        <v>2.3333333333333335</v>
      </c>
      <c r="K5" t="s">
        <v>397</v>
      </c>
      <c r="L5" s="2">
        <f>자릿수평균계산(K5)</f>
        <v>3</v>
      </c>
      <c r="M5" t="s">
        <v>398</v>
      </c>
      <c r="N5" s="2" t="s">
        <v>398</v>
      </c>
      <c r="O5">
        <v>0</v>
      </c>
      <c r="Q5">
        <v>2</v>
      </c>
      <c r="R5">
        <v>2</v>
      </c>
      <c r="S5">
        <f t="shared" si="0"/>
        <v>0</v>
      </c>
      <c r="T5">
        <v>0</v>
      </c>
      <c r="U5" s="13">
        <v>1</v>
      </c>
      <c r="W5" t="s">
        <v>399</v>
      </c>
      <c r="X5" t="s">
        <v>399</v>
      </c>
      <c r="Y5" t="s">
        <v>399</v>
      </c>
    </row>
    <row r="6" spans="1:26" x14ac:dyDescent="0.3">
      <c r="H6" t="s">
        <v>7</v>
      </c>
      <c r="J6" s="2" t="str">
        <f>자릿수평균계산(I6)</f>
        <v/>
      </c>
      <c r="L6" s="2" t="str">
        <f>자릿수평균계산(K6)</f>
        <v/>
      </c>
      <c r="S6" t="str">
        <f t="shared" si="0"/>
        <v/>
      </c>
    </row>
    <row r="7" spans="1:26" x14ac:dyDescent="0.3">
      <c r="S7" t="str">
        <f t="shared" si="0"/>
        <v/>
      </c>
    </row>
    <row r="8" spans="1:26" x14ac:dyDescent="0.3">
      <c r="A8" s="1">
        <v>2</v>
      </c>
      <c r="B8" t="s">
        <v>143</v>
      </c>
      <c r="C8">
        <v>6080611</v>
      </c>
      <c r="D8" t="s">
        <v>144</v>
      </c>
      <c r="F8" s="16">
        <v>45635</v>
      </c>
      <c r="H8" t="s">
        <v>4</v>
      </c>
      <c r="I8" t="s">
        <v>152</v>
      </c>
      <c r="J8" s="2">
        <f t="array" ref="J8">자릿수평균계산(I8)</f>
        <v>4.5</v>
      </c>
      <c r="K8" t="s">
        <v>152</v>
      </c>
      <c r="L8" s="2">
        <f>자릿수평균계산(K8)</f>
        <v>4.5</v>
      </c>
      <c r="M8" t="s">
        <v>156</v>
      </c>
      <c r="N8" t="s">
        <v>156</v>
      </c>
      <c r="O8">
        <v>2</v>
      </c>
      <c r="Q8">
        <v>3.3</v>
      </c>
      <c r="R8">
        <v>5</v>
      </c>
      <c r="S8">
        <f t="shared" si="0"/>
        <v>1.7000000000000002</v>
      </c>
      <c r="T8">
        <v>30</v>
      </c>
      <c r="W8" t="s">
        <v>258</v>
      </c>
      <c r="X8" t="s">
        <v>259</v>
      </c>
      <c r="Y8" t="s">
        <v>258</v>
      </c>
    </row>
    <row r="9" spans="1:26" x14ac:dyDescent="0.3">
      <c r="D9" t="s">
        <v>145</v>
      </c>
      <c r="F9" s="16">
        <v>45740</v>
      </c>
      <c r="H9" t="s">
        <v>5</v>
      </c>
      <c r="I9" t="s">
        <v>283</v>
      </c>
      <c r="J9" s="2">
        <f>자릿수평균계산(I9)</f>
        <v>2</v>
      </c>
      <c r="K9" t="s">
        <v>431</v>
      </c>
      <c r="L9" s="2">
        <f>자릿수평균계산(K9)</f>
        <v>3</v>
      </c>
      <c r="M9" t="s">
        <v>285</v>
      </c>
      <c r="N9" s="2" t="s">
        <v>286</v>
      </c>
      <c r="O9">
        <v>1</v>
      </c>
      <c r="Q9">
        <v>3.3</v>
      </c>
      <c r="R9">
        <v>3.3</v>
      </c>
      <c r="S9">
        <f t="shared" si="0"/>
        <v>0</v>
      </c>
      <c r="T9">
        <v>0</v>
      </c>
      <c r="U9" s="13">
        <v>1</v>
      </c>
      <c r="W9" t="s">
        <v>287</v>
      </c>
      <c r="X9" t="s">
        <v>288</v>
      </c>
      <c r="Y9" t="s">
        <v>289</v>
      </c>
    </row>
    <row r="10" spans="1:26" x14ac:dyDescent="0.3">
      <c r="F10" s="16">
        <v>45842</v>
      </c>
      <c r="H10" t="s">
        <v>6</v>
      </c>
      <c r="I10" t="s">
        <v>433</v>
      </c>
      <c r="J10" s="2">
        <f>자릿수평균계산(I10)</f>
        <v>2.3333333333333335</v>
      </c>
      <c r="K10" t="s">
        <v>434</v>
      </c>
      <c r="L10" s="2">
        <f>자릿수평균계산(K10)</f>
        <v>3.3333333333333335</v>
      </c>
      <c r="M10" t="s">
        <v>441</v>
      </c>
      <c r="N10" s="2" t="s">
        <v>442</v>
      </c>
      <c r="O10">
        <v>1</v>
      </c>
      <c r="Q10">
        <v>3.3</v>
      </c>
      <c r="R10">
        <v>3.3</v>
      </c>
      <c r="S10">
        <f t="shared" si="0"/>
        <v>0</v>
      </c>
      <c r="T10">
        <v>0</v>
      </c>
      <c r="U10" s="13">
        <v>1</v>
      </c>
      <c r="W10" t="s">
        <v>453</v>
      </c>
      <c r="X10" t="s">
        <v>449</v>
      </c>
      <c r="Y10" t="s">
        <v>454</v>
      </c>
    </row>
    <row r="11" spans="1:26" x14ac:dyDescent="0.3">
      <c r="H11" t="s">
        <v>7</v>
      </c>
      <c r="J11" s="2" t="str">
        <f>자릿수평균계산(I11)</f>
        <v/>
      </c>
      <c r="L11" s="2" t="str">
        <f>자릿수평균계산(K11)</f>
        <v/>
      </c>
      <c r="S11" t="str">
        <f t="shared" si="0"/>
        <v/>
      </c>
    </row>
    <row r="12" spans="1:26" x14ac:dyDescent="0.3">
      <c r="S12" t="str">
        <f t="shared" si="0"/>
        <v/>
      </c>
    </row>
    <row r="13" spans="1:26" x14ac:dyDescent="0.3">
      <c r="A13" s="1">
        <v>3</v>
      </c>
      <c r="B13" t="s">
        <v>143</v>
      </c>
      <c r="C13">
        <v>6080611</v>
      </c>
      <c r="D13" t="s">
        <v>146</v>
      </c>
      <c r="F13" s="16">
        <v>45635</v>
      </c>
      <c r="H13" t="s">
        <v>4</v>
      </c>
      <c r="I13" t="s">
        <v>153</v>
      </c>
      <c r="J13" s="2">
        <f>자릿수평균계산(I13)</f>
        <v>4.166666666666667</v>
      </c>
      <c r="K13" t="s">
        <v>153</v>
      </c>
      <c r="L13" s="2">
        <f>자릿수평균계산(K13)</f>
        <v>4.166666666666667</v>
      </c>
      <c r="M13" t="s">
        <v>156</v>
      </c>
      <c r="N13" t="s">
        <v>158</v>
      </c>
      <c r="O13">
        <v>2</v>
      </c>
      <c r="Q13">
        <v>3.3</v>
      </c>
      <c r="R13">
        <v>6.1</v>
      </c>
      <c r="S13">
        <f t="shared" si="0"/>
        <v>2.8</v>
      </c>
      <c r="T13">
        <v>51</v>
      </c>
      <c r="W13" t="s">
        <v>258</v>
      </c>
      <c r="X13" t="s">
        <v>259</v>
      </c>
      <c r="Y13" t="s">
        <v>258</v>
      </c>
    </row>
    <row r="14" spans="1:26" x14ac:dyDescent="0.3">
      <c r="D14" t="s">
        <v>149</v>
      </c>
      <c r="F14" s="16">
        <v>45740</v>
      </c>
      <c r="H14" t="s">
        <v>5</v>
      </c>
      <c r="I14" t="s">
        <v>283</v>
      </c>
      <c r="J14" s="2">
        <f>자릿수평균계산(I14)</f>
        <v>2</v>
      </c>
      <c r="K14" t="s">
        <v>432</v>
      </c>
      <c r="L14" s="2">
        <f>자릿수평균계산(K14)</f>
        <v>3.1666666666666665</v>
      </c>
      <c r="M14" t="s">
        <v>286</v>
      </c>
      <c r="N14" s="2" t="s">
        <v>286</v>
      </c>
      <c r="O14">
        <v>2</v>
      </c>
      <c r="Q14">
        <v>3.3</v>
      </c>
      <c r="R14">
        <v>3.3</v>
      </c>
      <c r="S14">
        <f t="shared" si="0"/>
        <v>0</v>
      </c>
      <c r="T14">
        <v>0</v>
      </c>
      <c r="U14" s="13">
        <v>1</v>
      </c>
      <c r="W14" t="s">
        <v>287</v>
      </c>
      <c r="X14" t="s">
        <v>288</v>
      </c>
      <c r="Y14" t="s">
        <v>289</v>
      </c>
    </row>
    <row r="15" spans="1:26" x14ac:dyDescent="0.3">
      <c r="F15" s="16">
        <v>45842</v>
      </c>
      <c r="H15" t="s">
        <v>6</v>
      </c>
      <c r="I15" t="s">
        <v>435</v>
      </c>
      <c r="J15" s="2">
        <f>자릿수평균계산(I15)</f>
        <v>2.6666666666666665</v>
      </c>
      <c r="K15" t="s">
        <v>436</v>
      </c>
      <c r="L15" s="2">
        <f>자릿수평균계산(K15)</f>
        <v>3.8333333333333335</v>
      </c>
      <c r="M15" t="s">
        <v>442</v>
      </c>
      <c r="N15" s="2" t="s">
        <v>442</v>
      </c>
      <c r="O15">
        <v>2</v>
      </c>
      <c r="Q15">
        <v>3.3</v>
      </c>
      <c r="R15">
        <v>3.3</v>
      </c>
      <c r="S15">
        <f t="shared" si="0"/>
        <v>0</v>
      </c>
      <c r="T15">
        <v>0</v>
      </c>
      <c r="U15" s="13">
        <v>1</v>
      </c>
      <c r="W15" t="s">
        <v>453</v>
      </c>
      <c r="X15" t="s">
        <v>449</v>
      </c>
      <c r="Y15" t="s">
        <v>454</v>
      </c>
    </row>
    <row r="16" spans="1:26" x14ac:dyDescent="0.3">
      <c r="H16" t="s">
        <v>7</v>
      </c>
      <c r="J16" s="2" t="str">
        <f>자릿수평균계산(I16)</f>
        <v/>
      </c>
      <c r="L16" s="2" t="str">
        <f>자릿수평균계산(K16)</f>
        <v/>
      </c>
      <c r="S16" t="str">
        <f t="shared" si="0"/>
        <v/>
      </c>
    </row>
    <row r="17" spans="1:25" x14ac:dyDescent="0.3">
      <c r="S17" t="str">
        <f t="shared" si="0"/>
        <v/>
      </c>
    </row>
    <row r="18" spans="1:25" x14ac:dyDescent="0.3">
      <c r="A18" s="1">
        <v>4</v>
      </c>
      <c r="B18" t="s">
        <v>143</v>
      </c>
      <c r="C18">
        <v>6080611</v>
      </c>
      <c r="D18" t="s">
        <v>147</v>
      </c>
      <c r="F18" s="16">
        <v>45635</v>
      </c>
      <c r="H18" t="s">
        <v>4</v>
      </c>
      <c r="I18" t="s">
        <v>154</v>
      </c>
      <c r="J18" s="2">
        <f>자릿수평균계산(I18)</f>
        <v>5.166666666666667</v>
      </c>
      <c r="K18" t="s">
        <v>154</v>
      </c>
      <c r="L18" s="2">
        <f>자릿수평균계산(K18)</f>
        <v>5.166666666666667</v>
      </c>
      <c r="M18" t="s">
        <v>156</v>
      </c>
      <c r="N18" t="s">
        <v>157</v>
      </c>
      <c r="O18">
        <v>1</v>
      </c>
      <c r="Q18">
        <v>2.2999999999999998</v>
      </c>
      <c r="R18">
        <v>6.4</v>
      </c>
      <c r="S18">
        <f t="shared" si="0"/>
        <v>4.1000000000000005</v>
      </c>
      <c r="T18">
        <v>27</v>
      </c>
      <c r="W18" t="s">
        <v>258</v>
      </c>
      <c r="X18" t="s">
        <v>259</v>
      </c>
      <c r="Y18" t="s">
        <v>258</v>
      </c>
    </row>
    <row r="19" spans="1:25" x14ac:dyDescent="0.3">
      <c r="D19" t="s">
        <v>150</v>
      </c>
      <c r="F19" s="16">
        <v>45740</v>
      </c>
      <c r="H19" t="s">
        <v>5</v>
      </c>
      <c r="I19" t="s">
        <v>283</v>
      </c>
      <c r="J19" s="2">
        <f>자릿수평균계산(I19)</f>
        <v>2</v>
      </c>
      <c r="K19" t="s">
        <v>284</v>
      </c>
      <c r="L19" s="2">
        <f>자릿수평균계산(K19)</f>
        <v>2.5</v>
      </c>
      <c r="M19" t="s">
        <v>286</v>
      </c>
      <c r="N19" t="s">
        <v>286</v>
      </c>
      <c r="O19">
        <v>0</v>
      </c>
      <c r="Q19">
        <v>2.2999999999999998</v>
      </c>
      <c r="R19">
        <v>2.2999999999999998</v>
      </c>
      <c r="S19">
        <f t="shared" si="0"/>
        <v>0</v>
      </c>
      <c r="T19">
        <v>0</v>
      </c>
      <c r="U19" s="13">
        <v>1</v>
      </c>
      <c r="W19" t="s">
        <v>287</v>
      </c>
      <c r="X19" t="s">
        <v>288</v>
      </c>
      <c r="Y19" t="s">
        <v>289</v>
      </c>
    </row>
    <row r="20" spans="1:25" x14ac:dyDescent="0.3">
      <c r="F20" s="16">
        <v>45842</v>
      </c>
      <c r="H20" t="s">
        <v>6</v>
      </c>
      <c r="I20" t="s">
        <v>437</v>
      </c>
      <c r="J20" s="2">
        <f>자릿수평균계산(I20)</f>
        <v>2.8333333333333335</v>
      </c>
      <c r="K20" t="s">
        <v>438</v>
      </c>
      <c r="L20" s="2">
        <f>자릿수평균계산(K20)</f>
        <v>3.3333333333333335</v>
      </c>
      <c r="M20" t="s">
        <v>442</v>
      </c>
      <c r="N20" s="2" t="s">
        <v>442</v>
      </c>
      <c r="O20">
        <v>0</v>
      </c>
      <c r="Q20">
        <v>2.8</v>
      </c>
      <c r="R20">
        <v>2.8</v>
      </c>
      <c r="S20">
        <f t="shared" si="0"/>
        <v>0</v>
      </c>
      <c r="T20">
        <v>0</v>
      </c>
      <c r="U20" s="13">
        <v>1</v>
      </c>
      <c r="W20" t="s">
        <v>453</v>
      </c>
      <c r="X20" t="s">
        <v>449</v>
      </c>
      <c r="Y20" t="s">
        <v>454</v>
      </c>
    </row>
    <row r="21" spans="1:25" x14ac:dyDescent="0.3">
      <c r="H21" t="s">
        <v>7</v>
      </c>
      <c r="J21" s="2" t="str">
        <f>자릿수평균계산(I21)</f>
        <v/>
      </c>
      <c r="L21" s="2" t="str">
        <f>자릿수평균계산(K21)</f>
        <v/>
      </c>
      <c r="S21" t="str">
        <f t="shared" si="0"/>
        <v/>
      </c>
    </row>
    <row r="22" spans="1:25" x14ac:dyDescent="0.3">
      <c r="S22" t="str">
        <f t="shared" si="0"/>
        <v/>
      </c>
    </row>
    <row r="23" spans="1:25" x14ac:dyDescent="0.3">
      <c r="A23" s="1">
        <v>5</v>
      </c>
      <c r="B23" t="s">
        <v>143</v>
      </c>
      <c r="C23">
        <v>6080611</v>
      </c>
      <c r="D23" t="s">
        <v>148</v>
      </c>
      <c r="F23" s="16">
        <v>45635</v>
      </c>
      <c r="H23" t="s">
        <v>4</v>
      </c>
      <c r="I23" t="s">
        <v>155</v>
      </c>
      <c r="J23" s="2">
        <f>자릿수평균계산(I23)</f>
        <v>4</v>
      </c>
      <c r="K23" t="s">
        <v>155</v>
      </c>
      <c r="L23" s="2">
        <f>자릿수평균계산(K23)</f>
        <v>4</v>
      </c>
      <c r="M23" t="s">
        <v>156</v>
      </c>
      <c r="N23" t="s">
        <v>158</v>
      </c>
      <c r="O23">
        <v>1</v>
      </c>
      <c r="Q23">
        <v>2</v>
      </c>
      <c r="R23">
        <v>4.5999999999999996</v>
      </c>
      <c r="S23">
        <f t="shared" si="0"/>
        <v>2.5999999999999996</v>
      </c>
      <c r="T23">
        <v>37</v>
      </c>
      <c r="W23" t="s">
        <v>258</v>
      </c>
      <c r="X23" t="s">
        <v>259</v>
      </c>
      <c r="Y23" t="s">
        <v>258</v>
      </c>
    </row>
    <row r="24" spans="1:25" x14ac:dyDescent="0.3">
      <c r="D24" t="s">
        <v>151</v>
      </c>
      <c r="F24" s="16">
        <v>45740</v>
      </c>
      <c r="H24" t="s">
        <v>5</v>
      </c>
      <c r="I24" t="s">
        <v>283</v>
      </c>
      <c r="J24" s="2">
        <f>자릿수평균계산(I24)</f>
        <v>2</v>
      </c>
      <c r="K24" t="s">
        <v>373</v>
      </c>
      <c r="L24" s="2">
        <f>자릿수평균계산(K24)</f>
        <v>2</v>
      </c>
      <c r="M24" t="s">
        <v>286</v>
      </c>
      <c r="N24" s="2" t="s">
        <v>286</v>
      </c>
      <c r="O24">
        <v>0</v>
      </c>
      <c r="Q24">
        <v>2</v>
      </c>
      <c r="R24">
        <v>2</v>
      </c>
      <c r="S24">
        <f t="shared" si="0"/>
        <v>0</v>
      </c>
      <c r="T24">
        <v>0</v>
      </c>
      <c r="U24" s="13">
        <v>1</v>
      </c>
      <c r="W24" t="s">
        <v>287</v>
      </c>
      <c r="X24" t="s">
        <v>288</v>
      </c>
      <c r="Y24" t="s">
        <v>289</v>
      </c>
    </row>
    <row r="25" spans="1:25" x14ac:dyDescent="0.3">
      <c r="F25" s="16">
        <v>45842</v>
      </c>
      <c r="H25" t="s">
        <v>6</v>
      </c>
      <c r="I25" t="s">
        <v>439</v>
      </c>
      <c r="J25" s="2">
        <f>자릿수평균계산(I25)</f>
        <v>3.3333333333333335</v>
      </c>
      <c r="K25" t="s">
        <v>440</v>
      </c>
      <c r="L25" s="2">
        <f>자릿수평균계산(K25)</f>
        <v>3.5</v>
      </c>
      <c r="M25" t="s">
        <v>442</v>
      </c>
      <c r="N25" s="2" t="s">
        <v>443</v>
      </c>
      <c r="O25">
        <v>0</v>
      </c>
      <c r="Q25">
        <v>2</v>
      </c>
      <c r="R25">
        <v>2</v>
      </c>
      <c r="S25">
        <f t="shared" si="0"/>
        <v>0</v>
      </c>
      <c r="T25">
        <v>0</v>
      </c>
      <c r="U25" s="13">
        <v>1</v>
      </c>
      <c r="W25" t="s">
        <v>453</v>
      </c>
      <c r="X25" t="s">
        <v>449</v>
      </c>
      <c r="Y25" t="s">
        <v>454</v>
      </c>
    </row>
    <row r="26" spans="1:25" x14ac:dyDescent="0.3">
      <c r="H26" t="s">
        <v>7</v>
      </c>
      <c r="J26" s="2" t="str">
        <f>자릿수평균계산(I26)</f>
        <v/>
      </c>
      <c r="L26" s="2" t="str">
        <f>자릿수평균계산(K26)</f>
        <v/>
      </c>
      <c r="S26" t="str">
        <f t="shared" si="0"/>
        <v/>
      </c>
    </row>
    <row r="27" spans="1:25" x14ac:dyDescent="0.3">
      <c r="S27" t="str">
        <f t="shared" si="0"/>
        <v/>
      </c>
    </row>
    <row r="28" spans="1:25" x14ac:dyDescent="0.3">
      <c r="A28" s="1">
        <v>6</v>
      </c>
      <c r="B28" t="s">
        <v>181</v>
      </c>
      <c r="C28">
        <v>3552749</v>
      </c>
      <c r="D28" t="s">
        <v>182</v>
      </c>
      <c r="F28" s="16">
        <v>45671</v>
      </c>
      <c r="H28" t="s">
        <v>4</v>
      </c>
      <c r="I28" t="s">
        <v>185</v>
      </c>
      <c r="J28" s="2">
        <f>자릿수평균계산(I28)</f>
        <v>4.166666666666667</v>
      </c>
      <c r="K28" t="s">
        <v>186</v>
      </c>
      <c r="L28" s="2">
        <f>자릿수평균계산(K28)</f>
        <v>4.333333333333333</v>
      </c>
      <c r="M28" t="s">
        <v>187</v>
      </c>
      <c r="N28" s="2" t="s">
        <v>188</v>
      </c>
      <c r="O28">
        <v>0</v>
      </c>
      <c r="Q28">
        <v>4.4000000000000004</v>
      </c>
      <c r="R28">
        <v>9.1</v>
      </c>
      <c r="S28">
        <f t="shared" si="0"/>
        <v>4.6999999999999993</v>
      </c>
      <c r="T28">
        <v>31</v>
      </c>
      <c r="W28" t="s">
        <v>260</v>
      </c>
      <c r="X28" t="s">
        <v>260</v>
      </c>
      <c r="Y28" t="s">
        <v>260</v>
      </c>
    </row>
    <row r="29" spans="1:25" x14ac:dyDescent="0.3">
      <c r="D29" t="s">
        <v>183</v>
      </c>
      <c r="F29" s="16">
        <v>45769</v>
      </c>
      <c r="H29" t="s">
        <v>5</v>
      </c>
      <c r="I29" t="s">
        <v>338</v>
      </c>
      <c r="J29" s="2">
        <f>자릿수평균계산(I29)</f>
        <v>3.6666666666666665</v>
      </c>
      <c r="K29" t="s">
        <v>339</v>
      </c>
      <c r="L29" s="2">
        <f>자릿수평균계산(K29)</f>
        <v>3.6666666666666665</v>
      </c>
      <c r="M29" t="s">
        <v>340</v>
      </c>
      <c r="N29" s="2" t="s">
        <v>340</v>
      </c>
      <c r="O29">
        <v>0</v>
      </c>
      <c r="Q29">
        <v>3.7</v>
      </c>
      <c r="R29">
        <v>3.7</v>
      </c>
      <c r="S29">
        <f t="shared" si="0"/>
        <v>0</v>
      </c>
      <c r="T29">
        <v>0</v>
      </c>
      <c r="U29" s="13">
        <v>1</v>
      </c>
    </row>
    <row r="30" spans="1:25" x14ac:dyDescent="0.3">
      <c r="D30" t="s">
        <v>184</v>
      </c>
      <c r="F30" s="16">
        <v>45842</v>
      </c>
      <c r="H30" t="s">
        <v>6</v>
      </c>
      <c r="I30" t="s">
        <v>444</v>
      </c>
      <c r="J30" s="2">
        <f>자릿수평균계산(I30)</f>
        <v>3.1666666666666665</v>
      </c>
      <c r="K30" t="s">
        <v>445</v>
      </c>
      <c r="L30" s="2">
        <f>자릿수평균계산(K30)</f>
        <v>3.1666666666666665</v>
      </c>
      <c r="M30" t="s">
        <v>442</v>
      </c>
      <c r="N30" s="2" t="s">
        <v>446</v>
      </c>
      <c r="O30">
        <v>0</v>
      </c>
      <c r="Q30">
        <v>3.7</v>
      </c>
      <c r="R30">
        <v>3.7</v>
      </c>
      <c r="S30">
        <f t="shared" si="0"/>
        <v>0</v>
      </c>
      <c r="T30">
        <v>0</v>
      </c>
      <c r="U30" s="13">
        <v>1</v>
      </c>
    </row>
    <row r="31" spans="1:25" x14ac:dyDescent="0.3">
      <c r="H31" t="s">
        <v>7</v>
      </c>
      <c r="J31" s="2" t="str">
        <f>자릿수평균계산(I31)</f>
        <v/>
      </c>
      <c r="L31" s="2" t="str">
        <f>자릿수평균계산(K31)</f>
        <v/>
      </c>
      <c r="S31" t="str">
        <f t="shared" si="0"/>
        <v/>
      </c>
    </row>
    <row r="32" spans="1:25" x14ac:dyDescent="0.3">
      <c r="S32" t="str">
        <f t="shared" si="0"/>
        <v/>
      </c>
    </row>
    <row r="33" spans="1:26" x14ac:dyDescent="0.3">
      <c r="A33" s="1">
        <v>7</v>
      </c>
      <c r="B33" t="s">
        <v>201</v>
      </c>
      <c r="C33">
        <v>3658017</v>
      </c>
      <c r="D33" t="s">
        <v>204</v>
      </c>
      <c r="F33" s="16">
        <v>45680</v>
      </c>
      <c r="H33" t="s">
        <v>4</v>
      </c>
      <c r="I33" t="s">
        <v>205</v>
      </c>
      <c r="J33" s="2">
        <f>자릿수평균계산(I33)</f>
        <v>4.5</v>
      </c>
      <c r="K33" t="s">
        <v>206</v>
      </c>
      <c r="L33" s="2">
        <f>자릿수평균계산(K33)</f>
        <v>5</v>
      </c>
      <c r="M33" t="s">
        <v>207</v>
      </c>
      <c r="N33" s="2" t="s">
        <v>208</v>
      </c>
      <c r="O33">
        <v>0</v>
      </c>
      <c r="Q33">
        <v>2.2599999999999998</v>
      </c>
      <c r="R33">
        <v>4.8499999999999996</v>
      </c>
      <c r="S33">
        <f t="shared" si="0"/>
        <v>2.59</v>
      </c>
      <c r="T33">
        <v>54</v>
      </c>
      <c r="W33" t="s">
        <v>260</v>
      </c>
      <c r="X33" t="s">
        <v>261</v>
      </c>
      <c r="Y33" t="s">
        <v>260</v>
      </c>
    </row>
    <row r="34" spans="1:26" x14ac:dyDescent="0.3">
      <c r="D34" t="s">
        <v>53</v>
      </c>
      <c r="F34" s="16">
        <v>45776</v>
      </c>
      <c r="H34" t="s">
        <v>5</v>
      </c>
      <c r="I34" t="s">
        <v>366</v>
      </c>
      <c r="J34" s="2">
        <f>자릿수평균계산(I34)</f>
        <v>3</v>
      </c>
      <c r="K34" t="s">
        <v>367</v>
      </c>
      <c r="L34" s="2">
        <f>자릿수평균계산(K34)</f>
        <v>3.3333333333333335</v>
      </c>
      <c r="M34" t="s">
        <v>361</v>
      </c>
      <c r="N34" s="2" t="s">
        <v>368</v>
      </c>
      <c r="O34">
        <v>0</v>
      </c>
      <c r="Q34">
        <v>1.7</v>
      </c>
      <c r="R34">
        <v>1.7</v>
      </c>
      <c r="S34">
        <f t="shared" si="0"/>
        <v>0</v>
      </c>
      <c r="T34">
        <v>0</v>
      </c>
      <c r="U34" s="13">
        <v>1</v>
      </c>
      <c r="W34" t="s">
        <v>543</v>
      </c>
      <c r="X34" t="s">
        <v>544</v>
      </c>
      <c r="Y34" t="s">
        <v>543</v>
      </c>
    </row>
    <row r="35" spans="1:26" x14ac:dyDescent="0.3">
      <c r="H35" t="s">
        <v>6</v>
      </c>
      <c r="I35" t="s">
        <v>540</v>
      </c>
      <c r="J35" s="2">
        <f>자릿수평균계산(I35)</f>
        <v>2.3333333333333335</v>
      </c>
      <c r="K35" t="s">
        <v>541</v>
      </c>
      <c r="L35" s="2">
        <f>자릿수평균계산(K35)</f>
        <v>2.6666666666666665</v>
      </c>
      <c r="M35" t="s">
        <v>542</v>
      </c>
      <c r="N35" s="2" t="s">
        <v>542</v>
      </c>
      <c r="O35">
        <v>0</v>
      </c>
      <c r="Q35">
        <v>1.7</v>
      </c>
      <c r="R35">
        <v>1.7</v>
      </c>
      <c r="S35">
        <f t="shared" si="0"/>
        <v>0</v>
      </c>
      <c r="T35">
        <v>0</v>
      </c>
      <c r="U35" s="13">
        <v>1</v>
      </c>
      <c r="W35" t="s">
        <v>543</v>
      </c>
      <c r="X35" t="s">
        <v>543</v>
      </c>
      <c r="Y35" t="s">
        <v>544</v>
      </c>
    </row>
    <row r="36" spans="1:26" x14ac:dyDescent="0.3">
      <c r="H36" t="s">
        <v>7</v>
      </c>
      <c r="J36" s="2" t="str">
        <f>자릿수평균계산(I36)</f>
        <v/>
      </c>
      <c r="L36" s="2" t="str">
        <f>자릿수평균계산(K36)</f>
        <v/>
      </c>
      <c r="S36" t="str">
        <f t="shared" si="0"/>
        <v/>
      </c>
    </row>
    <row r="37" spans="1:26" x14ac:dyDescent="0.3">
      <c r="S37" t="str">
        <f t="shared" si="0"/>
        <v/>
      </c>
    </row>
    <row r="38" spans="1:26" x14ac:dyDescent="0.3">
      <c r="A38" s="1">
        <v>8</v>
      </c>
      <c r="B38" t="s">
        <v>233</v>
      </c>
      <c r="C38">
        <v>1856096</v>
      </c>
      <c r="D38" t="s">
        <v>228</v>
      </c>
      <c r="F38" s="16">
        <v>45702</v>
      </c>
      <c r="H38" t="s">
        <v>4</v>
      </c>
      <c r="I38" t="s">
        <v>235</v>
      </c>
      <c r="J38" s="2">
        <f>자릿수평균계산(I38)</f>
        <v>4.166666666666667</v>
      </c>
      <c r="K38" t="s">
        <v>236</v>
      </c>
      <c r="L38" s="2">
        <f>자릿수평균계산(K38)</f>
        <v>5.5</v>
      </c>
      <c r="M38" t="s">
        <v>231</v>
      </c>
      <c r="N38" s="2" t="s">
        <v>232</v>
      </c>
      <c r="O38">
        <v>0</v>
      </c>
      <c r="Q38">
        <v>5.5</v>
      </c>
      <c r="R38">
        <v>9.5</v>
      </c>
      <c r="S38">
        <f t="shared" si="0"/>
        <v>4</v>
      </c>
      <c r="T38">
        <v>24</v>
      </c>
      <c r="W38" t="s">
        <v>260</v>
      </c>
      <c r="X38" t="s">
        <v>261</v>
      </c>
      <c r="Y38" t="s">
        <v>260</v>
      </c>
    </row>
    <row r="39" spans="1:26" x14ac:dyDescent="0.3">
      <c r="D39" t="s">
        <v>234</v>
      </c>
      <c r="F39" s="16">
        <v>45758</v>
      </c>
      <c r="H39" t="s">
        <v>5</v>
      </c>
      <c r="I39" t="s">
        <v>310</v>
      </c>
      <c r="J39" s="2">
        <f>자릿수평균계산(I39)</f>
        <v>2.1666666666666665</v>
      </c>
      <c r="K39" t="s">
        <v>311</v>
      </c>
      <c r="L39" s="2">
        <f>자릿수평균계산(K39)</f>
        <v>3.5</v>
      </c>
      <c r="M39" t="s">
        <v>309</v>
      </c>
      <c r="N39" s="2" t="s">
        <v>309</v>
      </c>
      <c r="O39">
        <v>0</v>
      </c>
      <c r="Q39">
        <v>5.5</v>
      </c>
      <c r="R39">
        <v>5.5</v>
      </c>
      <c r="S39">
        <f t="shared" si="0"/>
        <v>0</v>
      </c>
      <c r="T39" t="s">
        <v>309</v>
      </c>
      <c r="U39" s="13">
        <v>1</v>
      </c>
      <c r="W39" t="s">
        <v>557</v>
      </c>
      <c r="X39" t="s">
        <v>557</v>
      </c>
      <c r="Y39" t="s">
        <v>557</v>
      </c>
    </row>
    <row r="40" spans="1:26" x14ac:dyDescent="0.3">
      <c r="H40" t="s">
        <v>6</v>
      </c>
      <c r="I40" t="s">
        <v>559</v>
      </c>
      <c r="J40" s="2">
        <f>자릿수평균계산(I40)</f>
        <v>2.1666666666666665</v>
      </c>
      <c r="K40" t="s">
        <v>560</v>
      </c>
      <c r="L40" s="2">
        <f>자릿수평균계산(K40)</f>
        <v>3.5</v>
      </c>
      <c r="M40" t="s">
        <v>556</v>
      </c>
      <c r="N40" s="2" t="s">
        <v>556</v>
      </c>
      <c r="O40">
        <v>0</v>
      </c>
      <c r="Q40">
        <v>5.5</v>
      </c>
      <c r="R40">
        <v>5.5</v>
      </c>
      <c r="S40">
        <f t="shared" si="0"/>
        <v>0</v>
      </c>
      <c r="T40" t="s">
        <v>556</v>
      </c>
      <c r="U40" s="13">
        <v>1</v>
      </c>
      <c r="W40" t="s">
        <v>557</v>
      </c>
      <c r="X40" t="s">
        <v>558</v>
      </c>
      <c r="Y40" t="s">
        <v>557</v>
      </c>
    </row>
    <row r="41" spans="1:26" x14ac:dyDescent="0.3">
      <c r="H41" t="s">
        <v>7</v>
      </c>
      <c r="J41" s="2" t="str">
        <f>자릿수평균계산(I41)</f>
        <v/>
      </c>
      <c r="L41" s="2" t="str">
        <f>자릿수평균계산(K41)</f>
        <v/>
      </c>
      <c r="S41" t="str">
        <f t="shared" si="0"/>
        <v/>
      </c>
    </row>
    <row r="42" spans="1:26" x14ac:dyDescent="0.3">
      <c r="S42" t="str">
        <f t="shared" si="0"/>
        <v/>
      </c>
    </row>
    <row r="43" spans="1:26" x14ac:dyDescent="0.3">
      <c r="A43" s="1">
        <v>9</v>
      </c>
      <c r="B43" t="s">
        <v>262</v>
      </c>
      <c r="C43">
        <v>6084848</v>
      </c>
      <c r="D43" t="s">
        <v>266</v>
      </c>
      <c r="F43" s="16">
        <v>45726</v>
      </c>
      <c r="H43" t="s">
        <v>4</v>
      </c>
      <c r="I43" t="s">
        <v>268</v>
      </c>
      <c r="J43" s="2">
        <f>자릿수평균계산(I43)</f>
        <v>5.333333333333333</v>
      </c>
      <c r="K43" t="s">
        <v>269</v>
      </c>
      <c r="L43" s="2">
        <f>자릿수평균계산(K43)</f>
        <v>5.333333333333333</v>
      </c>
      <c r="M43" t="s">
        <v>270</v>
      </c>
      <c r="N43" s="2" t="s">
        <v>271</v>
      </c>
      <c r="O43">
        <v>0</v>
      </c>
      <c r="Q43">
        <v>7.6</v>
      </c>
      <c r="R43">
        <v>12.2</v>
      </c>
      <c r="S43">
        <f t="shared" si="0"/>
        <v>4.5999999999999996</v>
      </c>
      <c r="T43">
        <v>28</v>
      </c>
      <c r="W43" t="s">
        <v>272</v>
      </c>
      <c r="X43" t="s">
        <v>273</v>
      </c>
      <c r="Y43" t="s">
        <v>274</v>
      </c>
      <c r="Z43" t="s">
        <v>275</v>
      </c>
    </row>
    <row r="44" spans="1:26" x14ac:dyDescent="0.3">
      <c r="D44" t="s">
        <v>267</v>
      </c>
      <c r="H44" t="s">
        <v>5</v>
      </c>
      <c r="J44" s="2" t="str">
        <f>자릿수평균계산(I44)</f>
        <v/>
      </c>
      <c r="L44" s="2" t="str">
        <f>자릿수평균계산(K44)</f>
        <v/>
      </c>
      <c r="S44" t="str">
        <f t="shared" si="0"/>
        <v/>
      </c>
    </row>
    <row r="45" spans="1:26" x14ac:dyDescent="0.3">
      <c r="H45" t="s">
        <v>6</v>
      </c>
      <c r="J45" s="2" t="str">
        <f>자릿수평균계산(I45)</f>
        <v/>
      </c>
      <c r="L45" s="2" t="str">
        <f>자릿수평균계산(K45)</f>
        <v/>
      </c>
      <c r="S45" t="str">
        <f t="shared" si="0"/>
        <v/>
      </c>
    </row>
    <row r="46" spans="1:26" x14ac:dyDescent="0.3">
      <c r="H46" t="s">
        <v>7</v>
      </c>
      <c r="J46" s="2" t="str">
        <f>자릿수평균계산(I46)</f>
        <v/>
      </c>
      <c r="L46" s="2" t="str">
        <f>자릿수평균계산(K46)</f>
        <v/>
      </c>
      <c r="S46" t="str">
        <f t="shared" si="0"/>
        <v/>
      </c>
    </row>
    <row r="47" spans="1:26" x14ac:dyDescent="0.3">
      <c r="S47" t="str">
        <f t="shared" si="0"/>
        <v/>
      </c>
    </row>
    <row r="48" spans="1:26" x14ac:dyDescent="0.3">
      <c r="A48" s="1">
        <v>10</v>
      </c>
      <c r="B48" t="s">
        <v>312</v>
      </c>
      <c r="C48">
        <v>6084204</v>
      </c>
      <c r="D48" t="s">
        <v>313</v>
      </c>
      <c r="F48" s="16">
        <v>45763</v>
      </c>
      <c r="H48" t="s">
        <v>4</v>
      </c>
      <c r="I48" t="s">
        <v>317</v>
      </c>
      <c r="J48" s="2">
        <f>자릿수평균계산(I48)</f>
        <v>4.333333333333333</v>
      </c>
      <c r="K48" t="s">
        <v>317</v>
      </c>
      <c r="L48" s="2">
        <f>자릿수평균계산(K48)</f>
        <v>4.333333333333333</v>
      </c>
      <c r="M48" t="s">
        <v>319</v>
      </c>
      <c r="N48" s="2" t="s">
        <v>309</v>
      </c>
      <c r="O48">
        <v>0</v>
      </c>
      <c r="Q48">
        <v>3.1</v>
      </c>
      <c r="R48">
        <v>7.1</v>
      </c>
      <c r="S48">
        <f t="shared" si="0"/>
        <v>3.9999999999999996</v>
      </c>
      <c r="T48" t="s">
        <v>309</v>
      </c>
      <c r="W48" t="s">
        <v>343</v>
      </c>
      <c r="X48" t="s">
        <v>343</v>
      </c>
      <c r="Y48" t="s">
        <v>345</v>
      </c>
    </row>
    <row r="49" spans="1:25" x14ac:dyDescent="0.3">
      <c r="D49" t="s">
        <v>314</v>
      </c>
      <c r="H49" t="s">
        <v>5</v>
      </c>
      <c r="I49" t="s">
        <v>534</v>
      </c>
      <c r="J49" s="2">
        <f>자릿수평균계산(I49)</f>
        <v>3.5</v>
      </c>
      <c r="K49" t="s">
        <v>535</v>
      </c>
      <c r="L49" s="2">
        <f>자릿수평균계산(K49)</f>
        <v>4</v>
      </c>
      <c r="M49" t="s">
        <v>536</v>
      </c>
      <c r="N49" s="2" t="s">
        <v>536</v>
      </c>
      <c r="O49">
        <v>0</v>
      </c>
      <c r="Q49">
        <v>3.1</v>
      </c>
      <c r="R49">
        <v>3.1</v>
      </c>
      <c r="S49">
        <f t="shared" si="0"/>
        <v>0</v>
      </c>
      <c r="T49" t="s">
        <v>536</v>
      </c>
      <c r="W49" t="s">
        <v>539</v>
      </c>
      <c r="X49" t="s">
        <v>539</v>
      </c>
      <c r="Y49" t="s">
        <v>539</v>
      </c>
    </row>
    <row r="50" spans="1:25" x14ac:dyDescent="0.3">
      <c r="H50" t="s">
        <v>6</v>
      </c>
      <c r="J50" s="2" t="str">
        <f>자릿수평균계산(I50)</f>
        <v/>
      </c>
      <c r="L50" s="2" t="str">
        <f>자릿수평균계산(K50)</f>
        <v/>
      </c>
      <c r="S50" t="str">
        <f t="shared" si="0"/>
        <v/>
      </c>
    </row>
    <row r="51" spans="1:25" x14ac:dyDescent="0.3">
      <c r="H51" t="s">
        <v>7</v>
      </c>
      <c r="J51" s="2" t="str">
        <f>자릿수평균계산(I51)</f>
        <v/>
      </c>
      <c r="L51" s="2" t="str">
        <f>자릿수평균계산(K51)</f>
        <v/>
      </c>
      <c r="S51" t="str">
        <f t="shared" si="0"/>
        <v/>
      </c>
    </row>
    <row r="52" spans="1:25" x14ac:dyDescent="0.3">
      <c r="S52" t="str">
        <f t="shared" si="0"/>
        <v/>
      </c>
    </row>
    <row r="53" spans="1:25" x14ac:dyDescent="0.3">
      <c r="A53" s="22">
        <v>11</v>
      </c>
      <c r="B53" t="s">
        <v>312</v>
      </c>
      <c r="C53">
        <v>6084204</v>
      </c>
      <c r="D53" t="s">
        <v>315</v>
      </c>
      <c r="F53" s="16">
        <v>45763</v>
      </c>
      <c r="H53" t="s">
        <v>4</v>
      </c>
      <c r="I53" t="s">
        <v>318</v>
      </c>
      <c r="J53" s="2">
        <f>(4+10+7+3+3+3)/6</f>
        <v>5</v>
      </c>
      <c r="K53" t="s">
        <v>318</v>
      </c>
      <c r="L53" s="2">
        <f>(4+10+7+3+3+3)/6</f>
        <v>5</v>
      </c>
      <c r="M53" t="s">
        <v>319</v>
      </c>
      <c r="N53" s="2" t="s">
        <v>319</v>
      </c>
      <c r="O53">
        <v>0</v>
      </c>
      <c r="Q53">
        <v>2.2999999999999998</v>
      </c>
      <c r="R53">
        <v>6.7</v>
      </c>
      <c r="S53">
        <f t="shared" si="0"/>
        <v>4.4000000000000004</v>
      </c>
      <c r="T53" t="s">
        <v>309</v>
      </c>
      <c r="W53" t="s">
        <v>343</v>
      </c>
      <c r="X53" t="s">
        <v>346</v>
      </c>
      <c r="Y53" t="s">
        <v>347</v>
      </c>
    </row>
    <row r="54" spans="1:25" x14ac:dyDescent="0.3">
      <c r="A54" s="22"/>
      <c r="D54" t="s">
        <v>316</v>
      </c>
      <c r="H54" t="s">
        <v>5</v>
      </c>
      <c r="I54" t="s">
        <v>537</v>
      </c>
      <c r="J54" s="2">
        <f>자릿수평균계산(I54)</f>
        <v>4.166666666666667</v>
      </c>
      <c r="K54" t="s">
        <v>537</v>
      </c>
      <c r="L54" s="2">
        <f>자릿수평균계산(K54)</f>
        <v>4.166666666666667</v>
      </c>
      <c r="M54" t="s">
        <v>536</v>
      </c>
      <c r="N54" s="2" t="s">
        <v>536</v>
      </c>
      <c r="O54">
        <v>0</v>
      </c>
      <c r="Q54">
        <v>2.2999999999999998</v>
      </c>
      <c r="R54">
        <v>5.4</v>
      </c>
      <c r="S54">
        <f t="shared" si="0"/>
        <v>3.1000000000000005</v>
      </c>
      <c r="T54" t="s">
        <v>536</v>
      </c>
      <c r="W54" t="s">
        <v>539</v>
      </c>
      <c r="X54" t="s">
        <v>539</v>
      </c>
      <c r="Y54" t="s">
        <v>539</v>
      </c>
    </row>
    <row r="55" spans="1:25" x14ac:dyDescent="0.3">
      <c r="A55" s="22"/>
      <c r="H55" t="s">
        <v>6</v>
      </c>
      <c r="J55" s="2" t="str">
        <f>자릿수평균계산(I55)</f>
        <v/>
      </c>
      <c r="L55" s="2" t="str">
        <f>자릿수평균계산(K55)</f>
        <v/>
      </c>
      <c r="S55" t="str">
        <f t="shared" si="0"/>
        <v/>
      </c>
    </row>
    <row r="56" spans="1:25" x14ac:dyDescent="0.3">
      <c r="A56" s="22"/>
      <c r="H56" t="s">
        <v>7</v>
      </c>
      <c r="J56" s="2" t="str">
        <f>자릿수평균계산(I56)</f>
        <v/>
      </c>
      <c r="L56" s="2" t="str">
        <f>자릿수평균계산(K56)</f>
        <v/>
      </c>
      <c r="S56" t="str">
        <f t="shared" si="0"/>
        <v/>
      </c>
    </row>
    <row r="57" spans="1:25" x14ac:dyDescent="0.3">
      <c r="S57" t="str">
        <f t="shared" si="0"/>
        <v/>
      </c>
    </row>
    <row r="58" spans="1:25" x14ac:dyDescent="0.3">
      <c r="A58" s="22">
        <v>12</v>
      </c>
      <c r="B58" t="s">
        <v>422</v>
      </c>
      <c r="C58">
        <v>1720681</v>
      </c>
      <c r="D58" t="s">
        <v>428</v>
      </c>
      <c r="F58" t="s">
        <v>424</v>
      </c>
      <c r="H58" t="s">
        <v>4</v>
      </c>
      <c r="I58" t="s">
        <v>425</v>
      </c>
      <c r="J58" s="2">
        <f>(3+5+10+3+3+7)/6</f>
        <v>5.166666666666667</v>
      </c>
      <c r="K58" t="s">
        <v>425</v>
      </c>
      <c r="L58" s="2">
        <f>(3+5+10+3+3+7)/6</f>
        <v>5.166666666666667</v>
      </c>
      <c r="M58" t="s">
        <v>426</v>
      </c>
      <c r="N58" s="2" t="s">
        <v>427</v>
      </c>
      <c r="O58">
        <v>0</v>
      </c>
      <c r="Q58">
        <v>3.4</v>
      </c>
      <c r="R58">
        <v>9.4</v>
      </c>
      <c r="S58">
        <f t="shared" si="0"/>
        <v>6</v>
      </c>
      <c r="T58">
        <v>30</v>
      </c>
      <c r="W58" t="s">
        <v>557</v>
      </c>
      <c r="X58" t="s">
        <v>557</v>
      </c>
      <c r="Y58" t="s">
        <v>558</v>
      </c>
    </row>
    <row r="59" spans="1:25" x14ac:dyDescent="0.3">
      <c r="A59" s="22"/>
      <c r="D59" t="s">
        <v>423</v>
      </c>
      <c r="H59" t="s">
        <v>5</v>
      </c>
      <c r="I59" t="s">
        <v>554</v>
      </c>
      <c r="J59" s="2">
        <f>자릿수평균계산(I59)</f>
        <v>3.6666666666666665</v>
      </c>
      <c r="K59" t="s">
        <v>555</v>
      </c>
      <c r="L59" s="2">
        <f>자릿수평균계산(K59)</f>
        <v>4.333333333333333</v>
      </c>
      <c r="M59" t="s">
        <v>556</v>
      </c>
      <c r="N59" s="2" t="s">
        <v>556</v>
      </c>
      <c r="O59">
        <v>0</v>
      </c>
      <c r="Q59">
        <v>1.6</v>
      </c>
      <c r="R59">
        <v>1.6</v>
      </c>
      <c r="S59">
        <f t="shared" si="0"/>
        <v>0</v>
      </c>
      <c r="T59" t="s">
        <v>556</v>
      </c>
      <c r="U59" s="13">
        <v>1</v>
      </c>
      <c r="W59" t="s">
        <v>557</v>
      </c>
      <c r="X59" t="s">
        <v>558</v>
      </c>
      <c r="Y59" t="s">
        <v>557</v>
      </c>
    </row>
    <row r="60" spans="1:25" x14ac:dyDescent="0.3">
      <c r="A60" s="22"/>
      <c r="H60" t="s">
        <v>6</v>
      </c>
      <c r="J60" s="2" t="str">
        <f>자릿수평균계산(I60)</f>
        <v/>
      </c>
      <c r="L60" s="2" t="str">
        <f>자릿수평균계산(K60)</f>
        <v/>
      </c>
      <c r="S60" t="str">
        <f t="shared" si="0"/>
        <v/>
      </c>
    </row>
    <row r="61" spans="1:25" x14ac:dyDescent="0.3">
      <c r="A61" s="22"/>
      <c r="H61" t="s">
        <v>7</v>
      </c>
      <c r="J61" s="2" t="str">
        <f>자릿수평균계산(I61)</f>
        <v/>
      </c>
      <c r="L61" s="2" t="str">
        <f>자릿수평균계산(K61)</f>
        <v/>
      </c>
      <c r="S61" t="str">
        <f t="shared" si="0"/>
        <v/>
      </c>
    </row>
  </sheetData>
  <mergeCells count="3">
    <mergeCell ref="A1:F1"/>
    <mergeCell ref="I1:N1"/>
    <mergeCell ref="Q1:U1"/>
  </mergeCells>
  <phoneticPr fontId="1" type="noConversion"/>
  <conditionalFormatting sqref="M2:R52 P1 T2:U2 T38 T43 M57:R57 M62:R1048576 T4:T5 T18:T20 T13:T15 T23:T25 T8:T10 T28:T30 T33:T35">
    <cfRule type="cellIs" dxfId="1014" priority="3" operator="equal">
      <formula>"+"</formula>
    </cfRule>
  </conditionalFormatting>
  <conditionalFormatting sqref="M53:R56">
    <cfRule type="cellIs" dxfId="1013" priority="2" operator="equal">
      <formula>"+"</formula>
    </cfRule>
  </conditionalFormatting>
  <conditionalFormatting sqref="M58:R61 T58">
    <cfRule type="cellIs" dxfId="1012" priority="1" operator="equal">
      <formula>"+"</formula>
    </cfRule>
  </conditionalFormatting>
  <pageMargins left="0.7" right="0.7" top="0.75" bottom="0.75" header="0.3" footer="0.3"/>
  <pageSetup paperSize="9" scale="45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Z61"/>
  <sheetViews>
    <sheetView zoomScale="85" zoomScaleNormal="85" workbookViewId="0">
      <pane ySplit="2" topLeftCell="A36" activePane="bottomLeft" state="frozen"/>
      <selection pane="bottomLeft" activeCell="Z40" sqref="Z40"/>
    </sheetView>
  </sheetViews>
  <sheetFormatPr defaultRowHeight="16.5" x14ac:dyDescent="0.3"/>
  <cols>
    <col min="4" max="4" width="11.5" customWidth="1"/>
    <col min="5" max="5" width="3.25" customWidth="1"/>
    <col min="6" max="6" width="11.625" bestFit="1" customWidth="1"/>
    <col min="7" max="7" width="3.375" customWidth="1"/>
    <col min="9" max="9" width="8.125" style="2" customWidth="1"/>
    <col min="10" max="10" width="11.25" bestFit="1" customWidth="1"/>
    <col min="11" max="11" width="8" style="2" customWidth="1"/>
    <col min="12" max="12" width="11" bestFit="1" customWidth="1"/>
    <col min="13" max="13" width="5.25" bestFit="1" customWidth="1"/>
    <col min="14" max="14" width="5" bestFit="1" customWidth="1"/>
    <col min="15" max="16" width="5" customWidth="1"/>
    <col min="17" max="17" width="7.625" bestFit="1" customWidth="1"/>
    <col min="18" max="18" width="7.625" customWidth="1"/>
    <col min="19" max="19" width="12.875" customWidth="1"/>
    <col min="20" max="20" width="12.625" bestFit="1" customWidth="1"/>
    <col min="21" max="21" width="10.25" bestFit="1" customWidth="1"/>
    <col min="22" max="22" width="4.5" customWidth="1"/>
  </cols>
  <sheetData>
    <row r="1" spans="1:26" ht="40.5" customHeight="1" x14ac:dyDescent="0.3">
      <c r="A1" s="34" t="s">
        <v>30</v>
      </c>
      <c r="B1" s="34"/>
      <c r="C1" s="34"/>
      <c r="D1" s="34"/>
      <c r="E1" s="34"/>
      <c r="F1" s="34"/>
      <c r="I1" s="32" t="s">
        <v>18</v>
      </c>
      <c r="J1" s="32"/>
      <c r="K1" s="32"/>
      <c r="L1" s="32"/>
      <c r="M1" s="32"/>
      <c r="N1" s="32"/>
      <c r="O1" s="8"/>
      <c r="Q1" s="32" t="s">
        <v>19</v>
      </c>
      <c r="R1" s="32"/>
      <c r="S1" s="32"/>
      <c r="T1" s="32"/>
      <c r="U1" s="32"/>
    </row>
    <row r="2" spans="1:26" ht="33" x14ac:dyDescent="0.3">
      <c r="A2" s="1" t="s">
        <v>0</v>
      </c>
      <c r="B2" s="1" t="s">
        <v>1</v>
      </c>
      <c r="C2" s="1" t="s">
        <v>2</v>
      </c>
      <c r="D2" s="4" t="s">
        <v>29</v>
      </c>
      <c r="E2" s="1"/>
      <c r="F2" s="1" t="s">
        <v>3</v>
      </c>
      <c r="G2" s="1"/>
      <c r="H2" s="1"/>
      <c r="I2" s="1" t="s">
        <v>8</v>
      </c>
      <c r="J2" s="5" t="s">
        <v>12</v>
      </c>
      <c r="K2" s="1" t="s">
        <v>9</v>
      </c>
      <c r="L2" s="5" t="s">
        <v>13</v>
      </c>
      <c r="M2" s="1" t="s">
        <v>10</v>
      </c>
      <c r="N2" s="1" t="s">
        <v>11</v>
      </c>
      <c r="O2" s="8" t="s">
        <v>41</v>
      </c>
      <c r="P2" s="1"/>
      <c r="Q2" s="1" t="s">
        <v>16</v>
      </c>
      <c r="R2" s="1" t="s">
        <v>17</v>
      </c>
      <c r="S2" s="3" t="s">
        <v>28</v>
      </c>
      <c r="T2" s="6" t="s">
        <v>26</v>
      </c>
      <c r="U2" s="6" t="s">
        <v>27</v>
      </c>
      <c r="V2" s="7"/>
      <c r="W2" s="7" t="s">
        <v>14</v>
      </c>
      <c r="X2" s="7" t="s">
        <v>23</v>
      </c>
      <c r="Y2" s="7" t="s">
        <v>24</v>
      </c>
      <c r="Z2" s="7" t="s">
        <v>43</v>
      </c>
    </row>
    <row r="3" spans="1:26" x14ac:dyDescent="0.3">
      <c r="A3" s="1">
        <v>1</v>
      </c>
      <c r="B3" t="s">
        <v>32</v>
      </c>
      <c r="C3">
        <v>6080782</v>
      </c>
      <c r="D3" t="s">
        <v>34</v>
      </c>
      <c r="F3" s="16">
        <v>45517</v>
      </c>
      <c r="H3" t="s">
        <v>4</v>
      </c>
      <c r="I3" t="s">
        <v>35</v>
      </c>
      <c r="J3" s="2">
        <f>자릿수평균계산(I3)</f>
        <v>5</v>
      </c>
      <c r="K3" t="s">
        <v>35</v>
      </c>
      <c r="L3" s="2">
        <f>자릿수평균계산(K3)</f>
        <v>5</v>
      </c>
      <c r="M3" t="s">
        <v>20</v>
      </c>
      <c r="N3" t="s">
        <v>21</v>
      </c>
      <c r="O3">
        <v>1</v>
      </c>
      <c r="Q3">
        <v>3.7</v>
      </c>
      <c r="R3">
        <v>10.1</v>
      </c>
      <c r="S3">
        <f>IF(AND(ISNUMBER(R3), ISNUMBER(Q3)), R3 - Q3, "")</f>
        <v>6.3999999999999995</v>
      </c>
      <c r="T3">
        <v>20</v>
      </c>
      <c r="U3" t="s">
        <v>40</v>
      </c>
      <c r="W3" t="s">
        <v>22</v>
      </c>
      <c r="X3" t="s">
        <v>22</v>
      </c>
      <c r="Y3" t="s">
        <v>25</v>
      </c>
    </row>
    <row r="4" spans="1:26" x14ac:dyDescent="0.3">
      <c r="A4" s="1"/>
      <c r="D4" t="s">
        <v>33</v>
      </c>
      <c r="F4" s="16">
        <v>45603</v>
      </c>
      <c r="H4" t="s">
        <v>5</v>
      </c>
      <c r="I4" t="s">
        <v>83</v>
      </c>
      <c r="J4" s="2">
        <f>자릿수평균계산(I4)</f>
        <v>2.1666666666666665</v>
      </c>
      <c r="K4" t="s">
        <v>84</v>
      </c>
      <c r="L4" s="2">
        <f>자릿수평균계산(K4)</f>
        <v>2.6666666666666665</v>
      </c>
      <c r="M4" t="s">
        <v>85</v>
      </c>
      <c r="N4" s="2" t="s">
        <v>85</v>
      </c>
      <c r="O4">
        <v>0</v>
      </c>
      <c r="Q4">
        <v>3.5</v>
      </c>
      <c r="R4">
        <v>3.5</v>
      </c>
      <c r="S4">
        <f t="shared" ref="S4:S61" si="0">IF(AND(ISNUMBER(R4), ISNUMBER(Q4)), R4 - Q4, "")</f>
        <v>0</v>
      </c>
      <c r="T4">
        <v>0</v>
      </c>
      <c r="U4" s="13">
        <v>1</v>
      </c>
      <c r="W4" t="s">
        <v>89</v>
      </c>
      <c r="X4" t="s">
        <v>90</v>
      </c>
      <c r="Y4" t="s">
        <v>89</v>
      </c>
    </row>
    <row r="5" spans="1:26" x14ac:dyDescent="0.3">
      <c r="A5" s="1"/>
      <c r="F5" s="16">
        <v>45701</v>
      </c>
      <c r="H5" t="s">
        <v>6</v>
      </c>
      <c r="I5" t="s">
        <v>255</v>
      </c>
      <c r="J5" s="2">
        <f>자릿수평균계산(I5)</f>
        <v>2.1666666666666665</v>
      </c>
      <c r="K5" t="s">
        <v>256</v>
      </c>
      <c r="L5" s="2">
        <f>자릿수평균계산(K5)</f>
        <v>2.6666666666666665</v>
      </c>
      <c r="M5" t="s">
        <v>246</v>
      </c>
      <c r="N5" s="2" t="s">
        <v>246</v>
      </c>
      <c r="O5">
        <v>0</v>
      </c>
      <c r="Q5">
        <v>3.5</v>
      </c>
      <c r="R5">
        <v>3.5</v>
      </c>
      <c r="S5">
        <f t="shared" si="0"/>
        <v>0</v>
      </c>
      <c r="T5">
        <v>0</v>
      </c>
      <c r="U5" s="13">
        <v>1</v>
      </c>
      <c r="W5" t="s">
        <v>252</v>
      </c>
      <c r="X5" t="s">
        <v>252</v>
      </c>
      <c r="Y5" t="s">
        <v>257</v>
      </c>
    </row>
    <row r="6" spans="1:26" x14ac:dyDescent="0.3">
      <c r="A6" s="1"/>
      <c r="H6" t="s">
        <v>7</v>
      </c>
      <c r="I6"/>
      <c r="J6" s="2" t="str">
        <f>자릿수평균계산(I6)</f>
        <v/>
      </c>
      <c r="K6"/>
      <c r="L6" s="2" t="str">
        <f>자릿수평균계산(K6)</f>
        <v/>
      </c>
      <c r="S6" t="str">
        <f t="shared" si="0"/>
        <v/>
      </c>
    </row>
    <row r="7" spans="1:26" x14ac:dyDescent="0.3">
      <c r="A7" s="1"/>
      <c r="I7"/>
      <c r="J7" s="2"/>
      <c r="K7"/>
      <c r="L7" s="2"/>
      <c r="S7" t="str">
        <f t="shared" si="0"/>
        <v/>
      </c>
    </row>
    <row r="8" spans="1:26" x14ac:dyDescent="0.3">
      <c r="A8" s="1">
        <v>2</v>
      </c>
      <c r="B8" t="s">
        <v>51</v>
      </c>
      <c r="C8">
        <v>6011478</v>
      </c>
      <c r="D8" t="s">
        <v>52</v>
      </c>
      <c r="F8" s="16">
        <v>45567</v>
      </c>
      <c r="H8" t="s">
        <v>4</v>
      </c>
      <c r="I8" t="s">
        <v>55</v>
      </c>
      <c r="J8" s="2">
        <f>자릿수평균계산(I8)</f>
        <v>5.166666666666667</v>
      </c>
      <c r="K8" t="s">
        <v>56</v>
      </c>
      <c r="L8" s="2">
        <f>(10+7+7+10+5+6)/6</f>
        <v>7.5</v>
      </c>
      <c r="M8" t="s">
        <v>57</v>
      </c>
      <c r="N8" s="2" t="s">
        <v>58</v>
      </c>
      <c r="O8" s="10">
        <v>3</v>
      </c>
      <c r="Q8">
        <v>6.7</v>
      </c>
      <c r="R8">
        <v>10.8</v>
      </c>
      <c r="S8">
        <f t="shared" si="0"/>
        <v>4.1000000000000005</v>
      </c>
      <c r="T8">
        <v>23</v>
      </c>
      <c r="U8" t="s">
        <v>58</v>
      </c>
      <c r="W8" t="s">
        <v>59</v>
      </c>
      <c r="X8" t="s">
        <v>59</v>
      </c>
      <c r="Y8" t="s">
        <v>60</v>
      </c>
    </row>
    <row r="9" spans="1:26" x14ac:dyDescent="0.3">
      <c r="A9" s="1"/>
      <c r="D9" t="s">
        <v>53</v>
      </c>
      <c r="H9" t="s">
        <v>5</v>
      </c>
      <c r="I9"/>
      <c r="J9" s="2" t="str">
        <f>자릿수평균계산(I9)</f>
        <v/>
      </c>
      <c r="K9"/>
      <c r="L9" s="2" t="str">
        <f>자릿수평균계산(K9)</f>
        <v/>
      </c>
      <c r="S9" t="str">
        <f t="shared" si="0"/>
        <v/>
      </c>
    </row>
    <row r="10" spans="1:26" x14ac:dyDescent="0.3">
      <c r="A10" s="1"/>
      <c r="D10" t="s">
        <v>54</v>
      </c>
      <c r="F10" s="16">
        <v>45826</v>
      </c>
      <c r="H10" t="s">
        <v>6</v>
      </c>
      <c r="I10" t="s">
        <v>418</v>
      </c>
      <c r="J10" s="2">
        <f>자릿수평균계산(I10)</f>
        <v>4</v>
      </c>
      <c r="K10" t="s">
        <v>419</v>
      </c>
      <c r="L10" s="2">
        <f>자릿수평균계산(K10)</f>
        <v>6.833333333333333</v>
      </c>
      <c r="M10" t="s">
        <v>410</v>
      </c>
      <c r="N10" s="2" t="s">
        <v>410</v>
      </c>
      <c r="O10">
        <v>3</v>
      </c>
      <c r="Q10">
        <v>6.5</v>
      </c>
      <c r="R10">
        <v>6.5</v>
      </c>
      <c r="S10">
        <f t="shared" si="0"/>
        <v>0</v>
      </c>
      <c r="T10">
        <v>0</v>
      </c>
      <c r="U10" s="13">
        <v>1</v>
      </c>
      <c r="W10" t="s">
        <v>420</v>
      </c>
      <c r="X10" t="s">
        <v>420</v>
      </c>
      <c r="Y10" t="s">
        <v>421</v>
      </c>
    </row>
    <row r="11" spans="1:26" x14ac:dyDescent="0.3">
      <c r="A11" s="1"/>
      <c r="H11" t="s">
        <v>7</v>
      </c>
      <c r="I11"/>
      <c r="J11" s="2" t="str">
        <f>자릿수평균계산(I11)</f>
        <v/>
      </c>
      <c r="K11"/>
      <c r="L11" s="2" t="str">
        <f>자릿수평균계산(K11)</f>
        <v/>
      </c>
      <c r="S11" t="str">
        <f t="shared" si="0"/>
        <v/>
      </c>
    </row>
    <row r="12" spans="1:26" x14ac:dyDescent="0.3">
      <c r="A12" s="1"/>
      <c r="I12"/>
      <c r="J12" s="2"/>
      <c r="K12"/>
      <c r="L12" s="2"/>
      <c r="S12" t="str">
        <f t="shared" si="0"/>
        <v/>
      </c>
    </row>
    <row r="13" spans="1:26" x14ac:dyDescent="0.3">
      <c r="A13" s="1">
        <v>3</v>
      </c>
      <c r="B13" t="s">
        <v>72</v>
      </c>
      <c r="C13">
        <v>3558344</v>
      </c>
      <c r="D13" t="s">
        <v>73</v>
      </c>
      <c r="F13" s="16">
        <v>45602</v>
      </c>
      <c r="H13" t="s">
        <v>4</v>
      </c>
      <c r="I13" t="s">
        <v>76</v>
      </c>
      <c r="J13" s="2">
        <f>자릿수평균계산(I13)</f>
        <v>7.666666666666667</v>
      </c>
      <c r="K13" t="s">
        <v>95</v>
      </c>
      <c r="L13" s="2">
        <f>((11+4+8)+(11+11+11))/6</f>
        <v>9.3333333333333339</v>
      </c>
      <c r="M13" t="s">
        <v>77</v>
      </c>
      <c r="N13" t="s">
        <v>77</v>
      </c>
      <c r="O13">
        <v>2</v>
      </c>
      <c r="Q13">
        <v>1.9</v>
      </c>
      <c r="R13">
        <v>10.199999999999999</v>
      </c>
      <c r="S13">
        <f t="shared" si="0"/>
        <v>8.2999999999999989</v>
      </c>
      <c r="T13">
        <v>18</v>
      </c>
      <c r="U13" t="s">
        <v>80</v>
      </c>
      <c r="W13" t="s">
        <v>78</v>
      </c>
      <c r="X13" t="s">
        <v>78</v>
      </c>
      <c r="Y13" t="s">
        <v>78</v>
      </c>
      <c r="Z13" t="s">
        <v>79</v>
      </c>
    </row>
    <row r="14" spans="1:26" x14ac:dyDescent="0.3">
      <c r="A14" s="1"/>
      <c r="D14" t="s">
        <v>74</v>
      </c>
      <c r="F14" s="16">
        <v>45701</v>
      </c>
      <c r="H14" t="s">
        <v>5</v>
      </c>
      <c r="I14" t="s">
        <v>250</v>
      </c>
      <c r="J14" s="2">
        <f>자릿수평균계산(I14)</f>
        <v>2.1666666666666665</v>
      </c>
      <c r="K14" t="s">
        <v>251</v>
      </c>
      <c r="L14" s="2">
        <f>자릿수평균계산(K14)</f>
        <v>3.5</v>
      </c>
      <c r="M14" t="s">
        <v>246</v>
      </c>
      <c r="N14" s="2" t="s">
        <v>246</v>
      </c>
      <c r="O14">
        <v>1</v>
      </c>
      <c r="Q14">
        <v>3.5</v>
      </c>
      <c r="R14">
        <v>3.5</v>
      </c>
      <c r="S14">
        <f t="shared" si="0"/>
        <v>0</v>
      </c>
      <c r="T14">
        <v>0</v>
      </c>
      <c r="U14" s="13">
        <v>1</v>
      </c>
      <c r="W14" t="s">
        <v>252</v>
      </c>
      <c r="X14" t="s">
        <v>248</v>
      </c>
      <c r="Y14" t="s">
        <v>252</v>
      </c>
    </row>
    <row r="15" spans="1:26" x14ac:dyDescent="0.3">
      <c r="A15" s="1"/>
      <c r="D15" t="s">
        <v>75</v>
      </c>
      <c r="F15" s="16">
        <v>45804</v>
      </c>
      <c r="H15" t="s">
        <v>6</v>
      </c>
      <c r="I15" t="s">
        <v>359</v>
      </c>
      <c r="J15" s="2">
        <f>자릿수평균계산(I15)</f>
        <v>2.3333333333333335</v>
      </c>
      <c r="K15" t="s">
        <v>360</v>
      </c>
      <c r="L15" s="2">
        <f>자릿수평균계산(K15)</f>
        <v>3.5</v>
      </c>
      <c r="M15" t="s">
        <v>361</v>
      </c>
      <c r="N15" s="2" t="s">
        <v>361</v>
      </c>
      <c r="O15">
        <v>1</v>
      </c>
      <c r="Q15">
        <v>3.6</v>
      </c>
      <c r="R15">
        <v>3.6</v>
      </c>
      <c r="S15">
        <f t="shared" si="0"/>
        <v>0</v>
      </c>
      <c r="T15">
        <v>0</v>
      </c>
      <c r="U15" s="13">
        <v>1</v>
      </c>
      <c r="W15" t="s">
        <v>449</v>
      </c>
      <c r="X15" t="s">
        <v>451</v>
      </c>
      <c r="Y15" t="s">
        <v>452</v>
      </c>
    </row>
    <row r="16" spans="1:26" x14ac:dyDescent="0.3">
      <c r="A16" s="1"/>
      <c r="H16" t="s">
        <v>7</v>
      </c>
      <c r="I16"/>
      <c r="J16" s="2" t="str">
        <f>자릿수평균계산(I16)</f>
        <v/>
      </c>
      <c r="K16"/>
      <c r="L16" s="2" t="str">
        <f>자릿수평균계산(K16)</f>
        <v/>
      </c>
      <c r="S16" t="str">
        <f t="shared" si="0"/>
        <v/>
      </c>
    </row>
    <row r="17" spans="1:25" x14ac:dyDescent="0.3">
      <c r="A17" s="1"/>
      <c r="I17"/>
      <c r="J17" s="2"/>
      <c r="K17"/>
      <c r="L17" s="2"/>
      <c r="S17" t="str">
        <f t="shared" si="0"/>
        <v/>
      </c>
    </row>
    <row r="18" spans="1:25" x14ac:dyDescent="0.3">
      <c r="A18" s="1">
        <v>4</v>
      </c>
      <c r="B18" t="s">
        <v>63</v>
      </c>
      <c r="C18">
        <v>6064184</v>
      </c>
      <c r="D18" t="s">
        <v>160</v>
      </c>
      <c r="F18" s="16">
        <v>45642</v>
      </c>
      <c r="H18" t="s">
        <v>4</v>
      </c>
      <c r="I18" t="s">
        <v>161</v>
      </c>
      <c r="J18" s="2">
        <f>자릿수평균계산(I18)</f>
        <v>4</v>
      </c>
      <c r="K18" t="s">
        <v>162</v>
      </c>
      <c r="L18" s="2">
        <f>자릿수평균계산(K18)</f>
        <v>4</v>
      </c>
      <c r="M18" t="s">
        <v>163</v>
      </c>
      <c r="N18" s="2" t="s">
        <v>21</v>
      </c>
      <c r="O18">
        <v>0</v>
      </c>
      <c r="Q18">
        <v>2.2000000000000002</v>
      </c>
      <c r="R18">
        <v>6.3</v>
      </c>
      <c r="S18">
        <f t="shared" si="0"/>
        <v>4.0999999999999996</v>
      </c>
      <c r="T18">
        <v>28</v>
      </c>
      <c r="U18" t="s">
        <v>21</v>
      </c>
      <c r="W18" t="s">
        <v>22</v>
      </c>
      <c r="X18" t="s">
        <v>22</v>
      </c>
      <c r="Y18" t="s">
        <v>25</v>
      </c>
    </row>
    <row r="19" spans="1:25" x14ac:dyDescent="0.3">
      <c r="A19" s="1"/>
      <c r="D19" t="s">
        <v>111</v>
      </c>
      <c r="H19" t="s">
        <v>5</v>
      </c>
      <c r="I19"/>
      <c r="J19" s="2" t="str">
        <f>자릿수평균계산(I19)</f>
        <v/>
      </c>
      <c r="K19"/>
      <c r="L19" s="2" t="str">
        <f>자릿수평균계산(K19)</f>
        <v/>
      </c>
      <c r="S19" t="str">
        <f t="shared" si="0"/>
        <v/>
      </c>
    </row>
    <row r="20" spans="1:25" x14ac:dyDescent="0.3">
      <c r="A20" s="1"/>
      <c r="H20" t="s">
        <v>6</v>
      </c>
      <c r="I20"/>
      <c r="J20" s="2" t="str">
        <f>자릿수평균계산(I20)</f>
        <v/>
      </c>
      <c r="K20"/>
      <c r="L20" s="2" t="str">
        <f>자릿수평균계산(K20)</f>
        <v/>
      </c>
      <c r="S20" t="str">
        <f t="shared" si="0"/>
        <v/>
      </c>
    </row>
    <row r="21" spans="1:25" x14ac:dyDescent="0.3">
      <c r="A21" s="1"/>
      <c r="H21" t="s">
        <v>7</v>
      </c>
      <c r="I21"/>
      <c r="J21" s="2" t="str">
        <f>자릿수평균계산(I21)</f>
        <v/>
      </c>
      <c r="K21"/>
      <c r="L21" s="2" t="str">
        <f>자릿수평균계산(K21)</f>
        <v/>
      </c>
      <c r="S21" t="str">
        <f t="shared" si="0"/>
        <v/>
      </c>
    </row>
    <row r="22" spans="1:25" x14ac:dyDescent="0.3">
      <c r="A22" s="1"/>
      <c r="I22"/>
      <c r="J22" s="2"/>
      <c r="K22"/>
      <c r="L22" s="2"/>
      <c r="S22" t="str">
        <f t="shared" si="0"/>
        <v/>
      </c>
    </row>
    <row r="23" spans="1:25" x14ac:dyDescent="0.3">
      <c r="A23" s="1">
        <v>5</v>
      </c>
      <c r="B23" t="s">
        <v>171</v>
      </c>
      <c r="C23">
        <v>6081012</v>
      </c>
      <c r="D23" t="s">
        <v>172</v>
      </c>
      <c r="F23" s="16">
        <v>45652</v>
      </c>
      <c r="H23" t="s">
        <v>4</v>
      </c>
      <c r="I23" t="s">
        <v>173</v>
      </c>
      <c r="J23" s="2">
        <f>자릿수평균계산(I23)</f>
        <v>5</v>
      </c>
      <c r="K23" t="s">
        <v>174</v>
      </c>
      <c r="L23" s="2">
        <f>자릿수평균계산(K23)</f>
        <v>5</v>
      </c>
      <c r="M23" t="s">
        <v>21</v>
      </c>
      <c r="N23" s="2" t="s">
        <v>21</v>
      </c>
      <c r="O23">
        <v>0</v>
      </c>
      <c r="Q23">
        <v>1.1000000000000001</v>
      </c>
      <c r="R23">
        <v>7.7</v>
      </c>
      <c r="S23">
        <f t="shared" si="0"/>
        <v>6.6</v>
      </c>
      <c r="T23">
        <v>28</v>
      </c>
      <c r="U23" t="s">
        <v>21</v>
      </c>
      <c r="W23" t="s">
        <v>175</v>
      </c>
      <c r="X23" t="s">
        <v>22</v>
      </c>
      <c r="Y23" t="s">
        <v>22</v>
      </c>
    </row>
    <row r="24" spans="1:25" x14ac:dyDescent="0.3">
      <c r="A24" s="1"/>
      <c r="D24" t="s">
        <v>53</v>
      </c>
      <c r="F24" s="16">
        <v>45758</v>
      </c>
      <c r="H24" t="s">
        <v>5</v>
      </c>
      <c r="I24" t="s">
        <v>308</v>
      </c>
      <c r="J24" s="2">
        <f>자릿수평균계산(I24)</f>
        <v>3.3333333333333335</v>
      </c>
      <c r="K24" t="s">
        <v>308</v>
      </c>
      <c r="L24" s="2">
        <f>자릿수평균계산(K24)</f>
        <v>3.3333333333333335</v>
      </c>
      <c r="M24" t="s">
        <v>309</v>
      </c>
      <c r="N24" s="2" t="s">
        <v>309</v>
      </c>
      <c r="O24">
        <v>0</v>
      </c>
      <c r="Q24">
        <v>2.68</v>
      </c>
      <c r="R24">
        <v>2.68</v>
      </c>
      <c r="S24">
        <f t="shared" si="0"/>
        <v>0</v>
      </c>
      <c r="T24">
        <v>0</v>
      </c>
      <c r="U24" s="13">
        <v>1</v>
      </c>
      <c r="W24" t="s">
        <v>343</v>
      </c>
      <c r="X24" t="s">
        <v>344</v>
      </c>
      <c r="Y24" t="s">
        <v>343</v>
      </c>
    </row>
    <row r="25" spans="1:25" x14ac:dyDescent="0.3">
      <c r="A25" s="1"/>
      <c r="H25" t="s">
        <v>6</v>
      </c>
      <c r="I25" t="s">
        <v>447</v>
      </c>
      <c r="J25" s="2">
        <f>자릿수평균계산(I25)</f>
        <v>3.1666666666666665</v>
      </c>
      <c r="K25" t="s">
        <v>448</v>
      </c>
      <c r="L25" s="2">
        <f>자릿수평균계산(K25)</f>
        <v>3.1666666666666665</v>
      </c>
      <c r="M25" t="s">
        <v>446</v>
      </c>
      <c r="N25" s="2" t="s">
        <v>442</v>
      </c>
      <c r="O25">
        <v>0</v>
      </c>
      <c r="Q25">
        <v>2.68</v>
      </c>
      <c r="R25">
        <v>2.68</v>
      </c>
      <c r="S25">
        <f t="shared" si="0"/>
        <v>0</v>
      </c>
      <c r="T25">
        <v>0</v>
      </c>
      <c r="U25" s="13">
        <v>1</v>
      </c>
      <c r="W25" t="s">
        <v>449</v>
      </c>
      <c r="X25" t="s">
        <v>449</v>
      </c>
      <c r="Y25" t="s">
        <v>450</v>
      </c>
    </row>
    <row r="26" spans="1:25" x14ac:dyDescent="0.3">
      <c r="A26" s="1"/>
      <c r="H26" t="s">
        <v>7</v>
      </c>
      <c r="I26"/>
      <c r="J26" s="2" t="str">
        <f>자릿수평균계산(I26)</f>
        <v/>
      </c>
      <c r="K26"/>
      <c r="L26" s="2" t="str">
        <f>자릿수평균계산(K26)</f>
        <v/>
      </c>
      <c r="S26" t="str">
        <f t="shared" si="0"/>
        <v/>
      </c>
    </row>
    <row r="27" spans="1:25" x14ac:dyDescent="0.3">
      <c r="A27" s="1"/>
      <c r="I27"/>
      <c r="J27" s="2"/>
      <c r="K27"/>
      <c r="L27" s="2"/>
      <c r="S27" t="str">
        <f t="shared" si="0"/>
        <v/>
      </c>
    </row>
    <row r="28" spans="1:25" x14ac:dyDescent="0.3">
      <c r="A28" s="1">
        <v>6</v>
      </c>
      <c r="B28" t="s">
        <v>177</v>
      </c>
      <c r="C28">
        <v>6074560</v>
      </c>
      <c r="D28" t="s">
        <v>97</v>
      </c>
      <c r="F28" s="16">
        <v>45653</v>
      </c>
      <c r="H28" t="s">
        <v>4</v>
      </c>
      <c r="I28" t="s">
        <v>176</v>
      </c>
      <c r="J28" s="2">
        <f>자릿수평균계산(I28)</f>
        <v>4.333333333333333</v>
      </c>
      <c r="K28" t="s">
        <v>524</v>
      </c>
      <c r="L28" s="2">
        <f>자릿수평균계산(K28)</f>
        <v>6.5</v>
      </c>
      <c r="M28" t="s">
        <v>20</v>
      </c>
      <c r="N28" s="2" t="s">
        <v>21</v>
      </c>
      <c r="O28">
        <v>2</v>
      </c>
      <c r="Q28">
        <v>5</v>
      </c>
      <c r="R28">
        <v>9</v>
      </c>
      <c r="S28">
        <f t="shared" si="0"/>
        <v>4</v>
      </c>
      <c r="T28">
        <v>14</v>
      </c>
      <c r="U28" t="s">
        <v>21</v>
      </c>
      <c r="W28" t="s">
        <v>22</v>
      </c>
      <c r="X28" t="s">
        <v>22</v>
      </c>
      <c r="Y28" t="s">
        <v>25</v>
      </c>
    </row>
    <row r="29" spans="1:25" x14ac:dyDescent="0.3">
      <c r="A29" s="1"/>
      <c r="D29" t="s">
        <v>53</v>
      </c>
      <c r="F29" s="16">
        <v>45403</v>
      </c>
      <c r="H29" t="s">
        <v>5</v>
      </c>
      <c r="I29" t="s">
        <v>333</v>
      </c>
      <c r="J29" s="2">
        <f>자릿수평균계산(I29)</f>
        <v>3</v>
      </c>
      <c r="K29" t="s">
        <v>525</v>
      </c>
      <c r="L29" s="2">
        <f>자릿수평균계산(K29)</f>
        <v>5</v>
      </c>
      <c r="M29" t="s">
        <v>329</v>
      </c>
      <c r="N29" s="2" t="s">
        <v>334</v>
      </c>
      <c r="O29">
        <v>2</v>
      </c>
      <c r="Q29">
        <v>5</v>
      </c>
      <c r="R29">
        <v>5</v>
      </c>
      <c r="S29">
        <f t="shared" si="0"/>
        <v>0</v>
      </c>
      <c r="T29">
        <v>0</v>
      </c>
      <c r="U29" s="13">
        <v>1</v>
      </c>
      <c r="W29" t="s">
        <v>331</v>
      </c>
      <c r="X29" t="s">
        <v>332</v>
      </c>
      <c r="Y29" t="s">
        <v>335</v>
      </c>
    </row>
    <row r="30" spans="1:25" x14ac:dyDescent="0.3">
      <c r="A30" s="1"/>
      <c r="D30" t="s">
        <v>54</v>
      </c>
      <c r="F30" s="16">
        <v>45494</v>
      </c>
      <c r="H30" t="s">
        <v>6</v>
      </c>
      <c r="I30" t="s">
        <v>526</v>
      </c>
      <c r="J30" s="2">
        <f>자릿수평균계산(I30)</f>
        <v>4.166666666666667</v>
      </c>
      <c r="K30" t="s">
        <v>527</v>
      </c>
      <c r="L30" s="2">
        <f>자릿수평균계산(K30)</f>
        <v>6.166666666666667</v>
      </c>
      <c r="M30" t="s">
        <v>528</v>
      </c>
      <c r="N30" s="2" t="s">
        <v>530</v>
      </c>
      <c r="O30">
        <v>2</v>
      </c>
      <c r="Q30">
        <v>5</v>
      </c>
      <c r="R30">
        <v>5</v>
      </c>
      <c r="S30">
        <f t="shared" si="0"/>
        <v>0</v>
      </c>
      <c r="T30">
        <v>0</v>
      </c>
      <c r="U30" s="13">
        <v>1</v>
      </c>
      <c r="W30" t="s">
        <v>531</v>
      </c>
      <c r="X30" t="s">
        <v>531</v>
      </c>
      <c r="Y30" t="s">
        <v>531</v>
      </c>
    </row>
    <row r="31" spans="1:25" x14ac:dyDescent="0.3">
      <c r="A31" s="1"/>
      <c r="H31" t="s">
        <v>7</v>
      </c>
      <c r="I31"/>
      <c r="J31" s="2" t="str">
        <f>자릿수평균계산(I31)</f>
        <v/>
      </c>
      <c r="K31"/>
      <c r="L31" s="2" t="str">
        <f>자릿수평균계산(K31)</f>
        <v/>
      </c>
      <c r="S31" t="str">
        <f t="shared" si="0"/>
        <v/>
      </c>
    </row>
    <row r="32" spans="1:25" x14ac:dyDescent="0.3">
      <c r="A32" s="1"/>
      <c r="I32"/>
      <c r="J32" s="2"/>
      <c r="K32"/>
      <c r="L32" s="2"/>
      <c r="S32" t="str">
        <f t="shared" si="0"/>
        <v/>
      </c>
    </row>
    <row r="33" spans="1:25" x14ac:dyDescent="0.3">
      <c r="A33" s="1">
        <v>7</v>
      </c>
      <c r="B33" t="s">
        <v>193</v>
      </c>
      <c r="C33">
        <v>6082791</v>
      </c>
      <c r="D33" t="s">
        <v>194</v>
      </c>
      <c r="F33" s="16">
        <v>45663</v>
      </c>
      <c r="H33" t="s">
        <v>4</v>
      </c>
      <c r="I33" t="s">
        <v>196</v>
      </c>
      <c r="J33" s="2">
        <f>자릿수평균계산(I33)</f>
        <v>5.333333333333333</v>
      </c>
      <c r="K33" t="s">
        <v>197</v>
      </c>
      <c r="L33" s="2">
        <f>자릿수평균계산(K33)</f>
        <v>5.333333333333333</v>
      </c>
      <c r="M33" t="s">
        <v>198</v>
      </c>
      <c r="N33" s="2" t="s">
        <v>199</v>
      </c>
      <c r="O33">
        <v>0</v>
      </c>
      <c r="Q33">
        <v>3</v>
      </c>
      <c r="R33">
        <v>8.9</v>
      </c>
      <c r="S33">
        <f t="shared" si="0"/>
        <v>5.9</v>
      </c>
      <c r="T33">
        <v>38</v>
      </c>
      <c r="W33" t="s">
        <v>200</v>
      </c>
      <c r="X33" t="s">
        <v>200</v>
      </c>
      <c r="Y33" t="s">
        <v>200</v>
      </c>
    </row>
    <row r="34" spans="1:25" x14ac:dyDescent="0.3">
      <c r="A34" s="1"/>
      <c r="D34" t="s">
        <v>195</v>
      </c>
      <c r="F34" s="16">
        <v>45762</v>
      </c>
      <c r="H34" t="s">
        <v>5</v>
      </c>
      <c r="I34" t="s">
        <v>336</v>
      </c>
      <c r="J34" s="2">
        <f>자릿수평균계산(I34)</f>
        <v>3.1666666666666665</v>
      </c>
      <c r="K34" t="s">
        <v>337</v>
      </c>
      <c r="L34" s="2">
        <f>자릿수평균계산(K34)</f>
        <v>3.5</v>
      </c>
      <c r="M34" t="s">
        <v>329</v>
      </c>
      <c r="N34" s="2" t="s">
        <v>330</v>
      </c>
      <c r="O34">
        <v>0</v>
      </c>
      <c r="Q34">
        <v>3</v>
      </c>
      <c r="R34">
        <v>3</v>
      </c>
      <c r="S34">
        <f t="shared" si="0"/>
        <v>0</v>
      </c>
      <c r="T34">
        <v>0</v>
      </c>
      <c r="U34" s="13">
        <v>1</v>
      </c>
      <c r="W34" t="s">
        <v>343</v>
      </c>
      <c r="X34" t="s">
        <v>344</v>
      </c>
      <c r="Y34" t="s">
        <v>345</v>
      </c>
    </row>
    <row r="35" spans="1:25" x14ac:dyDescent="0.3">
      <c r="A35" s="1"/>
      <c r="H35" t="s">
        <v>6</v>
      </c>
      <c r="I35" t="s">
        <v>519</v>
      </c>
      <c r="J35" s="2">
        <f>자릿수평균계산(I35)</f>
        <v>3.3333333333333335</v>
      </c>
      <c r="K35" t="s">
        <v>520</v>
      </c>
      <c r="L35" s="2">
        <f>자릿수평균계산(K35)</f>
        <v>3</v>
      </c>
      <c r="M35" t="s">
        <v>521</v>
      </c>
      <c r="N35" s="2" t="s">
        <v>521</v>
      </c>
      <c r="O35">
        <v>0</v>
      </c>
      <c r="Q35">
        <v>3</v>
      </c>
      <c r="R35">
        <v>3</v>
      </c>
      <c r="S35">
        <f t="shared" si="0"/>
        <v>0</v>
      </c>
      <c r="T35">
        <v>0</v>
      </c>
      <c r="U35" s="13">
        <v>1</v>
      </c>
      <c r="W35" t="s">
        <v>522</v>
      </c>
      <c r="X35" t="s">
        <v>522</v>
      </c>
      <c r="Y35" t="s">
        <v>522</v>
      </c>
    </row>
    <row r="36" spans="1:25" x14ac:dyDescent="0.3">
      <c r="A36" s="1"/>
      <c r="H36" t="s">
        <v>7</v>
      </c>
      <c r="I36"/>
      <c r="J36" s="2" t="str">
        <f>자릿수평균계산(I36)</f>
        <v/>
      </c>
      <c r="K36"/>
      <c r="L36" s="2" t="str">
        <f>자릿수평균계산(K36)</f>
        <v/>
      </c>
      <c r="S36" t="str">
        <f t="shared" si="0"/>
        <v/>
      </c>
    </row>
    <row r="37" spans="1:25" x14ac:dyDescent="0.3">
      <c r="A37" s="1"/>
      <c r="I37"/>
      <c r="J37" s="2"/>
      <c r="K37"/>
      <c r="L37" s="2"/>
      <c r="S37" t="str">
        <f t="shared" si="0"/>
        <v/>
      </c>
    </row>
    <row r="38" spans="1:25" x14ac:dyDescent="0.3">
      <c r="A38" s="1">
        <v>8</v>
      </c>
      <c r="B38" t="s">
        <v>238</v>
      </c>
      <c r="C38">
        <v>3684270</v>
      </c>
      <c r="D38" t="s">
        <v>239</v>
      </c>
      <c r="F38" s="16">
        <v>45700</v>
      </c>
      <c r="H38" t="s">
        <v>4</v>
      </c>
      <c r="I38" t="s">
        <v>242</v>
      </c>
      <c r="J38" s="2">
        <f>자릿수평균계산(I38)</f>
        <v>3.1666666666666665</v>
      </c>
      <c r="K38" t="s">
        <v>243</v>
      </c>
      <c r="L38" s="2">
        <f>자릿수평균계산(K38)</f>
        <v>4.833333333333333</v>
      </c>
      <c r="M38" t="s">
        <v>232</v>
      </c>
      <c r="N38" s="2" t="s">
        <v>232</v>
      </c>
      <c r="O38">
        <v>0</v>
      </c>
      <c r="Q38">
        <v>2.4</v>
      </c>
      <c r="R38">
        <v>5.2</v>
      </c>
      <c r="S38">
        <f t="shared" si="0"/>
        <v>2.8000000000000003</v>
      </c>
      <c r="T38" t="s">
        <v>232</v>
      </c>
      <c r="W38" t="s">
        <v>303</v>
      </c>
      <c r="X38" t="s">
        <v>304</v>
      </c>
      <c r="Y38" t="s">
        <v>303</v>
      </c>
    </row>
    <row r="39" spans="1:25" x14ac:dyDescent="0.3">
      <c r="A39" s="1"/>
      <c r="D39" t="s">
        <v>240</v>
      </c>
      <c r="F39" s="16">
        <v>45777</v>
      </c>
      <c r="H39" t="s">
        <v>5</v>
      </c>
      <c r="I39" t="s">
        <v>373</v>
      </c>
      <c r="J39" s="2">
        <f>자릿수평균계산(I39)</f>
        <v>2</v>
      </c>
      <c r="K39" t="s">
        <v>374</v>
      </c>
      <c r="L39" s="2">
        <f>자릿수평균계산(K39)</f>
        <v>4.666666666666667</v>
      </c>
      <c r="M39" t="s">
        <v>361</v>
      </c>
      <c r="N39" s="2" t="s">
        <v>361</v>
      </c>
      <c r="O39">
        <v>0</v>
      </c>
      <c r="Q39">
        <v>1.3</v>
      </c>
      <c r="R39">
        <v>1.3</v>
      </c>
      <c r="S39">
        <f t="shared" si="0"/>
        <v>0</v>
      </c>
      <c r="T39" t="s">
        <v>375</v>
      </c>
      <c r="U39" s="13">
        <v>1</v>
      </c>
      <c r="W39" t="s">
        <v>370</v>
      </c>
      <c r="X39" t="s">
        <v>371</v>
      </c>
      <c r="Y39" t="s">
        <v>376</v>
      </c>
    </row>
    <row r="40" spans="1:25" x14ac:dyDescent="0.3">
      <c r="A40" s="1"/>
      <c r="D40" t="s">
        <v>241</v>
      </c>
      <c r="H40" t="s">
        <v>6</v>
      </c>
      <c r="I40" t="s">
        <v>549</v>
      </c>
      <c r="J40" s="2">
        <f>자릿수평균계산(I40)</f>
        <v>2</v>
      </c>
      <c r="K40" t="s">
        <v>550</v>
      </c>
      <c r="L40" s="2">
        <f>자릿수평균계산(K40)</f>
        <v>4.666666666666667</v>
      </c>
      <c r="M40" t="s">
        <v>542</v>
      </c>
      <c r="N40" s="2" t="s">
        <v>542</v>
      </c>
      <c r="O40">
        <v>0</v>
      </c>
      <c r="Q40">
        <v>1.3</v>
      </c>
      <c r="R40">
        <v>1.3</v>
      </c>
      <c r="S40">
        <f t="shared" si="0"/>
        <v>0</v>
      </c>
      <c r="T40" t="s">
        <v>542</v>
      </c>
      <c r="U40" s="13">
        <v>1</v>
      </c>
      <c r="W40" t="s">
        <v>543</v>
      </c>
      <c r="X40" t="s">
        <v>543</v>
      </c>
      <c r="Y40" t="s">
        <v>543</v>
      </c>
    </row>
    <row r="41" spans="1:25" x14ac:dyDescent="0.3">
      <c r="A41" s="1"/>
      <c r="H41" t="s">
        <v>7</v>
      </c>
      <c r="I41"/>
      <c r="J41" s="2" t="str">
        <f>자릿수평균계산(I41)</f>
        <v/>
      </c>
      <c r="K41"/>
      <c r="L41" s="2" t="str">
        <f>자릿수평균계산(K41)</f>
        <v/>
      </c>
      <c r="S41" t="str">
        <f t="shared" si="0"/>
        <v/>
      </c>
    </row>
    <row r="42" spans="1:25" x14ac:dyDescent="0.3">
      <c r="A42" s="1"/>
      <c r="I42"/>
      <c r="J42" s="2"/>
      <c r="K42"/>
      <c r="L42" s="2"/>
      <c r="S42" t="str">
        <f t="shared" si="0"/>
        <v/>
      </c>
    </row>
    <row r="43" spans="1:25" x14ac:dyDescent="0.3">
      <c r="A43" s="1">
        <v>9</v>
      </c>
      <c r="B43" t="s">
        <v>64</v>
      </c>
      <c r="C43">
        <v>2233135</v>
      </c>
      <c r="D43" t="s">
        <v>305</v>
      </c>
      <c r="F43" s="16">
        <v>45726</v>
      </c>
      <c r="H43" t="s">
        <v>4</v>
      </c>
      <c r="I43" t="s">
        <v>307</v>
      </c>
      <c r="J43" s="2">
        <f>(10+8+6+10+8+6)/6</f>
        <v>8</v>
      </c>
      <c r="K43" t="s">
        <v>307</v>
      </c>
      <c r="L43" s="2">
        <f>(10+8+6+10+8+6)/6</f>
        <v>8</v>
      </c>
      <c r="M43" t="s">
        <v>300</v>
      </c>
      <c r="N43" t="s">
        <v>301</v>
      </c>
      <c r="O43">
        <v>1</v>
      </c>
      <c r="Q43">
        <v>2.1</v>
      </c>
      <c r="R43">
        <v>9.5</v>
      </c>
      <c r="S43">
        <f t="shared" si="0"/>
        <v>7.4</v>
      </c>
      <c r="T43">
        <v>27</v>
      </c>
      <c r="W43" t="s">
        <v>303</v>
      </c>
      <c r="X43" t="s">
        <v>303</v>
      </c>
      <c r="Y43" t="s">
        <v>303</v>
      </c>
    </row>
    <row r="44" spans="1:25" x14ac:dyDescent="0.3">
      <c r="A44" s="1"/>
      <c r="D44" t="s">
        <v>306</v>
      </c>
      <c r="H44" t="s">
        <v>5</v>
      </c>
      <c r="I44"/>
      <c r="J44" s="2" t="str">
        <f>자릿수평균계산(I44)</f>
        <v/>
      </c>
      <c r="K44"/>
      <c r="L44" s="2" t="str">
        <f>자릿수평균계산(K44)</f>
        <v/>
      </c>
      <c r="S44" t="str">
        <f t="shared" si="0"/>
        <v/>
      </c>
    </row>
    <row r="45" spans="1:25" x14ac:dyDescent="0.3">
      <c r="A45" s="1"/>
      <c r="H45" t="s">
        <v>6</v>
      </c>
      <c r="I45"/>
      <c r="J45" s="2" t="str">
        <f>자릿수평균계산(I45)</f>
        <v/>
      </c>
      <c r="K45"/>
      <c r="L45" s="2" t="str">
        <f>자릿수평균계산(K45)</f>
        <v/>
      </c>
      <c r="S45" t="str">
        <f t="shared" si="0"/>
        <v/>
      </c>
    </row>
    <row r="46" spans="1:25" x14ac:dyDescent="0.3">
      <c r="A46" s="1"/>
      <c r="H46" t="s">
        <v>7</v>
      </c>
      <c r="I46"/>
      <c r="J46" s="2" t="str">
        <f>자릿수평균계산(I46)</f>
        <v/>
      </c>
      <c r="K46"/>
      <c r="L46" s="2" t="str">
        <f>자릿수평균계산(K46)</f>
        <v/>
      </c>
      <c r="S46" t="str">
        <f t="shared" si="0"/>
        <v/>
      </c>
    </row>
    <row r="47" spans="1:25" x14ac:dyDescent="0.3">
      <c r="A47" s="1"/>
      <c r="I47"/>
      <c r="J47" s="2"/>
      <c r="K47"/>
      <c r="L47" s="2"/>
      <c r="S47" t="str">
        <f t="shared" si="0"/>
        <v/>
      </c>
    </row>
    <row r="48" spans="1:25" x14ac:dyDescent="0.3">
      <c r="A48" s="1">
        <v>10</v>
      </c>
      <c r="B48" t="s">
        <v>262</v>
      </c>
      <c r="C48">
        <v>6084848</v>
      </c>
      <c r="D48" t="s">
        <v>299</v>
      </c>
      <c r="F48" s="16">
        <v>45742</v>
      </c>
      <c r="H48" t="s">
        <v>4</v>
      </c>
      <c r="I48" t="s">
        <v>302</v>
      </c>
      <c r="J48" s="2">
        <f>(4+3+3+10+7+7)/6</f>
        <v>5.666666666666667</v>
      </c>
      <c r="K48" t="s">
        <v>302</v>
      </c>
      <c r="L48" s="2">
        <f>(4+3+3+10+7+7)/6</f>
        <v>5.666666666666667</v>
      </c>
      <c r="M48" t="s">
        <v>300</v>
      </c>
      <c r="N48" s="2" t="s">
        <v>301</v>
      </c>
      <c r="O48">
        <v>1</v>
      </c>
      <c r="Q48">
        <v>4.0999999999999996</v>
      </c>
      <c r="R48">
        <v>13.6</v>
      </c>
      <c r="S48">
        <f t="shared" si="0"/>
        <v>9.5</v>
      </c>
      <c r="T48">
        <v>23</v>
      </c>
      <c r="W48" t="s">
        <v>303</v>
      </c>
      <c r="X48" t="s">
        <v>304</v>
      </c>
      <c r="Y48" t="s">
        <v>303</v>
      </c>
    </row>
    <row r="49" spans="1:25" x14ac:dyDescent="0.3">
      <c r="A49" s="1"/>
      <c r="H49" t="s">
        <v>5</v>
      </c>
      <c r="I49"/>
      <c r="J49" s="2" t="str">
        <f>자릿수평균계산(I49)</f>
        <v/>
      </c>
      <c r="K49"/>
      <c r="L49" s="2" t="str">
        <f>자릿수평균계산(K49)</f>
        <v/>
      </c>
      <c r="S49" t="str">
        <f t="shared" si="0"/>
        <v/>
      </c>
    </row>
    <row r="50" spans="1:25" x14ac:dyDescent="0.3">
      <c r="A50" s="1"/>
      <c r="H50" t="s">
        <v>6</v>
      </c>
      <c r="I50"/>
      <c r="J50" s="2" t="str">
        <f>자릿수평균계산(I50)</f>
        <v/>
      </c>
      <c r="K50"/>
      <c r="L50" s="2" t="str">
        <f>자릿수평균계산(K50)</f>
        <v/>
      </c>
      <c r="S50" t="str">
        <f t="shared" si="0"/>
        <v/>
      </c>
    </row>
    <row r="51" spans="1:25" x14ac:dyDescent="0.3">
      <c r="A51" s="1"/>
      <c r="H51" t="s">
        <v>7</v>
      </c>
      <c r="I51"/>
      <c r="J51" s="2" t="str">
        <f>자릿수평균계산(I51)</f>
        <v/>
      </c>
      <c r="K51"/>
      <c r="L51" s="2" t="str">
        <f>자릿수평균계산(K51)</f>
        <v/>
      </c>
      <c r="S51" t="str">
        <f t="shared" si="0"/>
        <v/>
      </c>
    </row>
    <row r="52" spans="1:25" x14ac:dyDescent="0.3">
      <c r="A52" s="1"/>
      <c r="I52"/>
      <c r="J52" s="2"/>
      <c r="K52"/>
      <c r="L52" s="2"/>
      <c r="S52" t="str">
        <f t="shared" si="0"/>
        <v/>
      </c>
    </row>
    <row r="53" spans="1:25" x14ac:dyDescent="0.3">
      <c r="A53" s="22">
        <v>11</v>
      </c>
      <c r="B53" t="s">
        <v>324</v>
      </c>
      <c r="C53">
        <v>3050279</v>
      </c>
      <c r="D53" t="s">
        <v>325</v>
      </c>
      <c r="F53" s="16">
        <v>45765</v>
      </c>
      <c r="H53" t="s">
        <v>4</v>
      </c>
      <c r="I53" t="s">
        <v>327</v>
      </c>
      <c r="J53" s="2">
        <f>자릿수평균계산(I53)</f>
        <v>4.333333333333333</v>
      </c>
      <c r="K53" t="s">
        <v>328</v>
      </c>
      <c r="L53" s="2">
        <f>자릿수평균계산(K53)</f>
        <v>4.333333333333333</v>
      </c>
      <c r="M53" t="s">
        <v>329</v>
      </c>
      <c r="N53" s="2" t="s">
        <v>330</v>
      </c>
      <c r="O53">
        <v>0</v>
      </c>
      <c r="Q53">
        <v>2.4</v>
      </c>
      <c r="R53">
        <v>6.3</v>
      </c>
      <c r="S53">
        <f t="shared" si="0"/>
        <v>3.9</v>
      </c>
      <c r="T53">
        <v>39</v>
      </c>
      <c r="W53" t="s">
        <v>331</v>
      </c>
      <c r="X53" t="s">
        <v>332</v>
      </c>
      <c r="Y53" t="s">
        <v>331</v>
      </c>
    </row>
    <row r="54" spans="1:25" x14ac:dyDescent="0.3">
      <c r="A54" s="22"/>
      <c r="D54" t="s">
        <v>326</v>
      </c>
      <c r="H54" t="s">
        <v>5</v>
      </c>
      <c r="I54"/>
      <c r="J54" s="2" t="str">
        <f>자릿수평균계산(I54)</f>
        <v/>
      </c>
      <c r="K54"/>
      <c r="L54" s="2" t="str">
        <f>자릿수평균계산(K54)</f>
        <v/>
      </c>
      <c r="S54" t="str">
        <f t="shared" si="0"/>
        <v/>
      </c>
    </row>
    <row r="55" spans="1:25" x14ac:dyDescent="0.3">
      <c r="A55" s="22"/>
      <c r="H55" t="s">
        <v>6</v>
      </c>
      <c r="I55"/>
      <c r="J55" s="2" t="str">
        <f>자릿수평균계산(I55)</f>
        <v/>
      </c>
      <c r="K55"/>
      <c r="L55" s="2" t="str">
        <f>자릿수평균계산(K55)</f>
        <v/>
      </c>
      <c r="S55" t="str">
        <f t="shared" si="0"/>
        <v/>
      </c>
    </row>
    <row r="56" spans="1:25" x14ac:dyDescent="0.3">
      <c r="A56" s="22"/>
      <c r="H56" t="s">
        <v>7</v>
      </c>
      <c r="I56"/>
      <c r="J56" s="2" t="str">
        <f>자릿수평균계산(I56)</f>
        <v/>
      </c>
      <c r="K56"/>
      <c r="L56" s="2" t="str">
        <f>자릿수평균계산(K56)</f>
        <v/>
      </c>
      <c r="S56" t="str">
        <f t="shared" si="0"/>
        <v/>
      </c>
    </row>
    <row r="57" spans="1:25" x14ac:dyDescent="0.3">
      <c r="S57" t="str">
        <f t="shared" si="0"/>
        <v/>
      </c>
    </row>
    <row r="58" spans="1:25" x14ac:dyDescent="0.3">
      <c r="A58" s="22">
        <v>12</v>
      </c>
      <c r="B58" t="s">
        <v>379</v>
      </c>
      <c r="C58">
        <v>3129880</v>
      </c>
      <c r="D58" t="s">
        <v>380</v>
      </c>
      <c r="F58" s="16">
        <v>45806</v>
      </c>
      <c r="H58" t="s">
        <v>4</v>
      </c>
      <c r="I58" t="s">
        <v>383</v>
      </c>
      <c r="J58" s="2">
        <f>자릿수평균계산(I58)</f>
        <v>5.166666666666667</v>
      </c>
      <c r="K58" t="s">
        <v>383</v>
      </c>
      <c r="L58" s="2">
        <f>자릿수평균계산(K58)</f>
        <v>5.166666666666667</v>
      </c>
      <c r="M58" t="s">
        <v>384</v>
      </c>
      <c r="N58" s="2" t="s">
        <v>385</v>
      </c>
      <c r="O58">
        <v>0</v>
      </c>
      <c r="Q58">
        <v>3.9</v>
      </c>
      <c r="R58">
        <v>7</v>
      </c>
      <c r="S58">
        <f t="shared" si="0"/>
        <v>3.1</v>
      </c>
      <c r="T58" t="s">
        <v>385</v>
      </c>
      <c r="W58" t="s">
        <v>386</v>
      </c>
      <c r="X58" t="s">
        <v>387</v>
      </c>
      <c r="Y58" t="s">
        <v>387</v>
      </c>
    </row>
    <row r="59" spans="1:25" x14ac:dyDescent="0.3">
      <c r="A59" s="22"/>
      <c r="D59" t="s">
        <v>381</v>
      </c>
      <c r="H59" t="s">
        <v>5</v>
      </c>
      <c r="I59"/>
      <c r="J59" s="2" t="str">
        <f>자릿수평균계산(I59)</f>
        <v/>
      </c>
      <c r="K59"/>
      <c r="L59" s="2" t="str">
        <f>자릿수평균계산(K59)</f>
        <v/>
      </c>
      <c r="S59" t="str">
        <f t="shared" si="0"/>
        <v/>
      </c>
    </row>
    <row r="60" spans="1:25" x14ac:dyDescent="0.3">
      <c r="A60" s="22"/>
      <c r="D60" t="s">
        <v>382</v>
      </c>
      <c r="H60" t="s">
        <v>6</v>
      </c>
      <c r="I60"/>
      <c r="J60" s="2" t="str">
        <f>자릿수평균계산(I60)</f>
        <v/>
      </c>
      <c r="K60"/>
      <c r="L60" s="2" t="str">
        <f>자릿수평균계산(K60)</f>
        <v/>
      </c>
      <c r="S60" t="str">
        <f t="shared" si="0"/>
        <v/>
      </c>
    </row>
    <row r="61" spans="1:25" x14ac:dyDescent="0.3">
      <c r="A61" s="22"/>
      <c r="H61" t="s">
        <v>7</v>
      </c>
      <c r="I61"/>
      <c r="J61" s="2" t="str">
        <f>자릿수평균계산(I61)</f>
        <v/>
      </c>
      <c r="K61"/>
      <c r="L61" s="2" t="str">
        <f>자릿수평균계산(K61)</f>
        <v/>
      </c>
      <c r="S61" t="str">
        <f t="shared" si="0"/>
        <v/>
      </c>
    </row>
  </sheetData>
  <mergeCells count="3">
    <mergeCell ref="A1:F1"/>
    <mergeCell ref="I1:N1"/>
    <mergeCell ref="Q1:U1"/>
  </mergeCells>
  <phoneticPr fontId="1" type="noConversion"/>
  <conditionalFormatting sqref="L57:M57 L62:M1048576">
    <cfRule type="cellIs" dxfId="1011" priority="5" operator="equal">
      <formula>"+"</formula>
    </cfRule>
  </conditionalFormatting>
  <conditionalFormatting sqref="M2:R52 P1 T2:U2 T8 T18 T4:T5 T48 T13:T15 T10 T23:T25 T33:T35 T28:T30">
    <cfRule type="cellIs" dxfId="1010" priority="3" operator="equal">
      <formula>"+"</formula>
    </cfRule>
  </conditionalFormatting>
  <conditionalFormatting sqref="M53:R56 T53">
    <cfRule type="cellIs" dxfId="1009" priority="2" operator="equal">
      <formula>"+"</formula>
    </cfRule>
  </conditionalFormatting>
  <conditionalFormatting sqref="M58:R61 T58">
    <cfRule type="cellIs" dxfId="1008" priority="1" operator="equal">
      <formula>"+"</formula>
    </cfRule>
  </conditionalFormatting>
  <pageMargins left="0.7" right="0.7" top="0.75" bottom="0.75" header="0.3" footer="0.3"/>
  <pageSetup paperSize="9" scale="45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A1:Z61"/>
  <sheetViews>
    <sheetView zoomScale="85" zoomScaleNormal="85" workbookViewId="0">
      <pane ySplit="2" topLeftCell="A30" activePane="bottomLeft" state="frozen"/>
      <selection pane="bottomLeft" activeCell="U46" sqref="U46"/>
    </sheetView>
  </sheetViews>
  <sheetFormatPr defaultRowHeight="16.5" x14ac:dyDescent="0.3"/>
  <cols>
    <col min="4" max="4" width="11.5" customWidth="1"/>
    <col min="5" max="5" width="3.25" customWidth="1"/>
    <col min="6" max="6" width="11.625" bestFit="1" customWidth="1"/>
    <col min="7" max="7" width="3.375" customWidth="1"/>
    <col min="9" max="9" width="8.125" customWidth="1"/>
    <col min="10" max="10" width="11.25" bestFit="1" customWidth="1"/>
    <col min="11" max="11" width="8" customWidth="1"/>
    <col min="12" max="12" width="11" bestFit="1" customWidth="1"/>
    <col min="13" max="13" width="5.25" bestFit="1" customWidth="1"/>
    <col min="14" max="14" width="5" bestFit="1" customWidth="1"/>
    <col min="15" max="16" width="5" customWidth="1"/>
    <col min="17" max="17" width="7.625" bestFit="1" customWidth="1"/>
    <col min="18" max="18" width="7.625" customWidth="1"/>
    <col min="19" max="19" width="12.875" customWidth="1"/>
    <col min="20" max="20" width="12.625" bestFit="1" customWidth="1"/>
    <col min="21" max="21" width="10.25" bestFit="1" customWidth="1"/>
    <col min="22" max="22" width="4.5" customWidth="1"/>
  </cols>
  <sheetData>
    <row r="1" spans="1:26" ht="40.5" customHeight="1" x14ac:dyDescent="0.3">
      <c r="A1" s="34" t="s">
        <v>31</v>
      </c>
      <c r="B1" s="34"/>
      <c r="C1" s="34"/>
      <c r="D1" s="34"/>
      <c r="E1" s="34"/>
      <c r="F1" s="34"/>
      <c r="I1" s="32" t="s">
        <v>18</v>
      </c>
      <c r="J1" s="32"/>
      <c r="K1" s="32"/>
      <c r="L1" s="32"/>
      <c r="M1" s="32"/>
      <c r="N1" s="32"/>
      <c r="O1" s="8"/>
      <c r="Q1" s="32" t="s">
        <v>19</v>
      </c>
      <c r="R1" s="32"/>
      <c r="S1" s="32"/>
      <c r="T1" s="32"/>
      <c r="U1" s="32"/>
    </row>
    <row r="2" spans="1:26" ht="33" x14ac:dyDescent="0.3">
      <c r="A2" s="1" t="s">
        <v>0</v>
      </c>
      <c r="B2" s="1" t="s">
        <v>1</v>
      </c>
      <c r="C2" s="1" t="s">
        <v>2</v>
      </c>
      <c r="D2" s="4" t="s">
        <v>29</v>
      </c>
      <c r="E2" s="1"/>
      <c r="F2" s="1" t="s">
        <v>3</v>
      </c>
      <c r="G2" s="1"/>
      <c r="H2" s="1"/>
      <c r="I2" s="1" t="s">
        <v>8</v>
      </c>
      <c r="J2" s="5" t="s">
        <v>12</v>
      </c>
      <c r="K2" s="1" t="s">
        <v>9</v>
      </c>
      <c r="L2" s="5" t="s">
        <v>13</v>
      </c>
      <c r="M2" s="1" t="s">
        <v>10</v>
      </c>
      <c r="N2" s="1" t="s">
        <v>11</v>
      </c>
      <c r="O2" s="8" t="s">
        <v>41</v>
      </c>
      <c r="P2" s="1"/>
      <c r="Q2" s="1" t="s">
        <v>16</v>
      </c>
      <c r="R2" s="1" t="s">
        <v>17</v>
      </c>
      <c r="S2" s="3" t="s">
        <v>28</v>
      </c>
      <c r="T2" s="6" t="s">
        <v>26</v>
      </c>
      <c r="U2" s="6" t="s">
        <v>27</v>
      </c>
      <c r="V2" s="7"/>
      <c r="W2" s="7" t="s">
        <v>14</v>
      </c>
      <c r="X2" s="7" t="s">
        <v>23</v>
      </c>
      <c r="Y2" s="7" t="s">
        <v>24</v>
      </c>
      <c r="Z2" s="7" t="s">
        <v>43</v>
      </c>
    </row>
    <row r="3" spans="1:26" x14ac:dyDescent="0.3">
      <c r="A3" s="1">
        <v>1</v>
      </c>
      <c r="B3" t="s">
        <v>32</v>
      </c>
      <c r="C3">
        <v>6080782</v>
      </c>
      <c r="D3" t="s">
        <v>36</v>
      </c>
      <c r="F3" s="16">
        <v>45531</v>
      </c>
      <c r="H3" t="s">
        <v>4</v>
      </c>
      <c r="I3" t="s">
        <v>38</v>
      </c>
      <c r="J3" s="2">
        <f>자릿수평균계산(I3)</f>
        <v>5.666666666666667</v>
      </c>
      <c r="K3" t="s">
        <v>39</v>
      </c>
      <c r="L3" s="2">
        <f>자릿수평균계산(K3)</f>
        <v>6.833333333333333</v>
      </c>
      <c r="M3" t="s">
        <v>20</v>
      </c>
      <c r="N3" t="s">
        <v>21</v>
      </c>
      <c r="O3">
        <v>3</v>
      </c>
      <c r="Q3">
        <v>5.4</v>
      </c>
      <c r="R3">
        <v>10</v>
      </c>
      <c r="S3">
        <f>IF(AND(ISNUMBER(R3), ISNUMBER(Q3)), R3 - Q3, "")</f>
        <v>4.5999999999999996</v>
      </c>
      <c r="T3">
        <v>27</v>
      </c>
      <c r="U3" t="s">
        <v>40</v>
      </c>
      <c r="W3" t="s">
        <v>22</v>
      </c>
      <c r="X3" t="s">
        <v>22</v>
      </c>
      <c r="Y3" t="s">
        <v>22</v>
      </c>
      <c r="Z3" t="s">
        <v>42</v>
      </c>
    </row>
    <row r="4" spans="1:26" x14ac:dyDescent="0.3">
      <c r="A4" s="1"/>
      <c r="D4" t="s">
        <v>37</v>
      </c>
      <c r="F4" s="16">
        <v>45603</v>
      </c>
      <c r="H4" t="s">
        <v>5</v>
      </c>
      <c r="I4" t="s">
        <v>86</v>
      </c>
      <c r="J4" s="2">
        <f>자릿수평균계산(I4)</f>
        <v>3</v>
      </c>
      <c r="K4" t="s">
        <v>87</v>
      </c>
      <c r="L4" s="2">
        <f>자릿수평균계산(K4)</f>
        <v>4.5</v>
      </c>
      <c r="M4" t="s">
        <v>88</v>
      </c>
      <c r="N4" s="2" t="s">
        <v>85</v>
      </c>
      <c r="O4">
        <v>1</v>
      </c>
      <c r="Q4">
        <v>5</v>
      </c>
      <c r="R4">
        <v>7.3</v>
      </c>
      <c r="S4">
        <f t="shared" ref="S4:S61" si="0">IF(AND(ISNUMBER(R4), ISNUMBER(Q4)), R4 - Q4, "")</f>
        <v>2.2999999999999998</v>
      </c>
      <c r="T4">
        <v>22</v>
      </c>
      <c r="U4" s="13">
        <f>(S3-S4)/S3</f>
        <v>0.5</v>
      </c>
      <c r="W4" t="s">
        <v>89</v>
      </c>
      <c r="X4" t="s">
        <v>90</v>
      </c>
      <c r="Y4" t="s">
        <v>89</v>
      </c>
    </row>
    <row r="5" spans="1:26" x14ac:dyDescent="0.3">
      <c r="A5" s="1"/>
      <c r="F5" s="16">
        <v>45701</v>
      </c>
      <c r="H5" t="s">
        <v>6</v>
      </c>
      <c r="I5" t="s">
        <v>253</v>
      </c>
      <c r="J5" s="2">
        <f>자릿수평균계산(I5)</f>
        <v>2.5</v>
      </c>
      <c r="K5" t="s">
        <v>254</v>
      </c>
      <c r="L5" s="2">
        <f>자릿수평균계산(K5)</f>
        <v>4.666666666666667</v>
      </c>
      <c r="M5" t="s">
        <v>246</v>
      </c>
      <c r="N5" s="2" t="s">
        <v>246</v>
      </c>
      <c r="O5">
        <v>1</v>
      </c>
      <c r="Q5">
        <v>5</v>
      </c>
      <c r="R5">
        <v>7.2</v>
      </c>
      <c r="S5">
        <f t="shared" si="0"/>
        <v>2.2000000000000002</v>
      </c>
      <c r="T5">
        <v>51</v>
      </c>
      <c r="U5" s="13">
        <v>0.5</v>
      </c>
      <c r="W5" t="s">
        <v>252</v>
      </c>
      <c r="X5" t="s">
        <v>252</v>
      </c>
      <c r="Y5" t="s">
        <v>252</v>
      </c>
    </row>
    <row r="6" spans="1:26" x14ac:dyDescent="0.3">
      <c r="A6" s="1"/>
      <c r="H6" t="s">
        <v>7</v>
      </c>
      <c r="J6" s="2" t="str">
        <f>자릿수평균계산(I6)</f>
        <v/>
      </c>
      <c r="L6" s="2" t="str">
        <f>자릿수평균계산(K6)</f>
        <v/>
      </c>
      <c r="S6" t="str">
        <f t="shared" si="0"/>
        <v/>
      </c>
    </row>
    <row r="7" spans="1:26" x14ac:dyDescent="0.3">
      <c r="A7" s="1"/>
      <c r="J7" s="2"/>
      <c r="L7" s="2"/>
      <c r="S7" t="str">
        <f t="shared" si="0"/>
        <v/>
      </c>
    </row>
    <row r="8" spans="1:26" x14ac:dyDescent="0.3">
      <c r="A8" s="1">
        <v>2</v>
      </c>
      <c r="B8" t="s">
        <v>98</v>
      </c>
      <c r="C8">
        <v>1403078</v>
      </c>
      <c r="D8" t="s">
        <v>99</v>
      </c>
      <c r="F8" s="16">
        <v>45615</v>
      </c>
      <c r="H8" t="s">
        <v>4</v>
      </c>
      <c r="I8" t="s">
        <v>100</v>
      </c>
      <c r="J8" s="2">
        <f>자릿수평균계산(I8)</f>
        <v>4.5</v>
      </c>
      <c r="K8" t="s">
        <v>101</v>
      </c>
      <c r="L8" s="2">
        <f>자릿수평균계산(K8)</f>
        <v>4.833333333333333</v>
      </c>
      <c r="M8" t="s">
        <v>102</v>
      </c>
      <c r="N8" s="2" t="s">
        <v>103</v>
      </c>
      <c r="O8">
        <v>1</v>
      </c>
      <c r="Q8">
        <v>2.4</v>
      </c>
      <c r="R8">
        <v>9.73</v>
      </c>
      <c r="S8">
        <f t="shared" si="0"/>
        <v>7.33</v>
      </c>
      <c r="T8">
        <v>31</v>
      </c>
      <c r="U8" t="s">
        <v>103</v>
      </c>
      <c r="W8" t="s">
        <v>104</v>
      </c>
      <c r="X8" t="s">
        <v>104</v>
      </c>
      <c r="Y8" t="s">
        <v>104</v>
      </c>
    </row>
    <row r="9" spans="1:26" x14ac:dyDescent="0.3">
      <c r="A9" s="1"/>
      <c r="D9" t="s">
        <v>53</v>
      </c>
      <c r="F9" s="16">
        <v>45722</v>
      </c>
      <c r="H9" t="s">
        <v>5</v>
      </c>
      <c r="I9" t="s">
        <v>244</v>
      </c>
      <c r="J9" s="2">
        <f>자릿수평균계산(I9)</f>
        <v>2.6666666666666665</v>
      </c>
      <c r="K9" t="s">
        <v>245</v>
      </c>
      <c r="L9" s="2">
        <f>자릿수평균계산(K9)</f>
        <v>3.1666666666666665</v>
      </c>
      <c r="M9" t="s">
        <v>246</v>
      </c>
      <c r="N9" s="2" t="s">
        <v>246</v>
      </c>
      <c r="O9">
        <v>0</v>
      </c>
      <c r="Q9">
        <v>2.7</v>
      </c>
      <c r="R9">
        <v>2.7</v>
      </c>
      <c r="S9">
        <f t="shared" si="0"/>
        <v>0</v>
      </c>
      <c r="T9">
        <v>0</v>
      </c>
      <c r="U9" s="13">
        <v>1</v>
      </c>
      <c r="W9" t="s">
        <v>247</v>
      </c>
      <c r="X9" t="s">
        <v>248</v>
      </c>
      <c r="Y9" t="s">
        <v>249</v>
      </c>
    </row>
    <row r="10" spans="1:26" x14ac:dyDescent="0.3">
      <c r="A10" s="1"/>
      <c r="F10" s="16">
        <v>45799</v>
      </c>
      <c r="H10" t="s">
        <v>6</v>
      </c>
      <c r="I10" t="s">
        <v>362</v>
      </c>
      <c r="J10" s="2">
        <f>자릿수평균계산(I10)</f>
        <v>2.5</v>
      </c>
      <c r="K10" t="s">
        <v>363</v>
      </c>
      <c r="L10" s="2">
        <f>자릿수평균계산(K10)</f>
        <v>3</v>
      </c>
      <c r="M10" t="s">
        <v>361</v>
      </c>
      <c r="N10" s="2" t="s">
        <v>364</v>
      </c>
      <c r="O10">
        <v>0</v>
      </c>
      <c r="Q10">
        <v>3.1</v>
      </c>
      <c r="R10">
        <v>4.9000000000000004</v>
      </c>
      <c r="S10">
        <f t="shared" si="0"/>
        <v>1.8000000000000003</v>
      </c>
      <c r="T10">
        <v>36</v>
      </c>
    </row>
    <row r="11" spans="1:26" x14ac:dyDescent="0.3">
      <c r="A11" s="1"/>
      <c r="H11" t="s">
        <v>7</v>
      </c>
      <c r="J11" s="2" t="str">
        <f>자릿수평균계산(I11)</f>
        <v/>
      </c>
      <c r="L11" s="2" t="str">
        <f>자릿수평균계산(K11)</f>
        <v/>
      </c>
      <c r="S11" t="str">
        <f t="shared" si="0"/>
        <v/>
      </c>
    </row>
    <row r="12" spans="1:26" x14ac:dyDescent="0.3">
      <c r="A12" s="1"/>
      <c r="J12" s="2"/>
      <c r="L12" s="2"/>
      <c r="S12" t="str">
        <f t="shared" si="0"/>
        <v/>
      </c>
    </row>
    <row r="13" spans="1:26" x14ac:dyDescent="0.3">
      <c r="A13" s="1">
        <v>3</v>
      </c>
      <c r="B13" t="s">
        <v>108</v>
      </c>
      <c r="C13">
        <v>6011478</v>
      </c>
      <c r="D13" t="s">
        <v>137</v>
      </c>
      <c r="F13" s="16">
        <v>45616</v>
      </c>
      <c r="H13" t="s">
        <v>4</v>
      </c>
      <c r="I13" t="s">
        <v>113</v>
      </c>
      <c r="J13" s="2">
        <f>자릿수평균계산(I13)</f>
        <v>2.6666666666666665</v>
      </c>
      <c r="K13" t="s">
        <v>114</v>
      </c>
      <c r="L13" s="2">
        <f>자릿수평균계산(K13)</f>
        <v>4</v>
      </c>
      <c r="M13" t="s">
        <v>121</v>
      </c>
      <c r="N13" s="2" t="s">
        <v>125</v>
      </c>
      <c r="O13">
        <v>1</v>
      </c>
      <c r="Q13">
        <v>3.6</v>
      </c>
      <c r="R13">
        <v>5.9</v>
      </c>
      <c r="S13">
        <f t="shared" si="0"/>
        <v>2.3000000000000003</v>
      </c>
      <c r="T13">
        <v>28</v>
      </c>
      <c r="W13" t="s">
        <v>126</v>
      </c>
      <c r="X13" t="s">
        <v>127</v>
      </c>
      <c r="Y13" t="s">
        <v>126</v>
      </c>
    </row>
    <row r="14" spans="1:26" x14ac:dyDescent="0.3">
      <c r="A14" s="1"/>
      <c r="D14" t="s">
        <v>109</v>
      </c>
      <c r="H14" t="s">
        <v>5</v>
      </c>
      <c r="J14" s="2" t="str">
        <f>자릿수평균계산(I14)</f>
        <v/>
      </c>
      <c r="L14" s="2" t="str">
        <f>자릿수평균계산(K14)</f>
        <v/>
      </c>
      <c r="S14" t="str">
        <f t="shared" si="0"/>
        <v/>
      </c>
    </row>
    <row r="15" spans="1:26" x14ac:dyDescent="0.3">
      <c r="A15" s="1"/>
      <c r="F15" s="16">
        <v>45826</v>
      </c>
      <c r="H15" t="s">
        <v>6</v>
      </c>
      <c r="I15" t="s">
        <v>408</v>
      </c>
      <c r="J15" s="2">
        <f>자릿수평균계산(I15)</f>
        <v>2.6666666666666665</v>
      </c>
      <c r="K15" t="s">
        <v>409</v>
      </c>
      <c r="L15" s="2">
        <f>자릿수평균계산(K15)</f>
        <v>4</v>
      </c>
      <c r="M15" t="s">
        <v>410</v>
      </c>
      <c r="N15" s="2" t="s">
        <v>410</v>
      </c>
      <c r="O15">
        <v>0</v>
      </c>
      <c r="Q15">
        <v>2.1</v>
      </c>
      <c r="R15">
        <v>3.4</v>
      </c>
      <c r="S15">
        <f t="shared" si="0"/>
        <v>1.2999999999999998</v>
      </c>
      <c r="T15">
        <v>9</v>
      </c>
      <c r="W15" t="s">
        <v>420</v>
      </c>
      <c r="X15" t="s">
        <v>420</v>
      </c>
      <c r="Y15" t="s">
        <v>421</v>
      </c>
    </row>
    <row r="16" spans="1:26" x14ac:dyDescent="0.3">
      <c r="A16" s="1"/>
      <c r="H16" t="s">
        <v>7</v>
      </c>
      <c r="J16" s="2" t="str">
        <f>자릿수평균계산(I16)</f>
        <v/>
      </c>
      <c r="L16" s="2" t="str">
        <f>자릿수평균계산(K16)</f>
        <v/>
      </c>
      <c r="S16" t="str">
        <f t="shared" si="0"/>
        <v/>
      </c>
    </row>
    <row r="17" spans="1:25" x14ac:dyDescent="0.3">
      <c r="A17" s="1"/>
      <c r="J17" s="2"/>
      <c r="L17" s="2"/>
      <c r="S17" t="str">
        <f t="shared" si="0"/>
        <v/>
      </c>
    </row>
    <row r="18" spans="1:25" x14ac:dyDescent="0.3">
      <c r="A18" s="1">
        <v>4</v>
      </c>
      <c r="B18" t="s">
        <v>108</v>
      </c>
      <c r="C18">
        <v>6011478</v>
      </c>
      <c r="D18" t="s">
        <v>138</v>
      </c>
      <c r="F18" s="16">
        <v>45616</v>
      </c>
      <c r="H18" t="s">
        <v>4</v>
      </c>
      <c r="I18" t="s">
        <v>115</v>
      </c>
      <c r="J18" s="2">
        <f>자릿수평균계산(I18)</f>
        <v>3.5</v>
      </c>
      <c r="K18" t="s">
        <v>116</v>
      </c>
      <c r="L18" s="2">
        <f>자릿수평균계산(K18)</f>
        <v>3.8333333333333335</v>
      </c>
      <c r="M18" t="s">
        <v>122</v>
      </c>
      <c r="N18" s="2" t="s">
        <v>121</v>
      </c>
      <c r="O18">
        <v>1</v>
      </c>
      <c r="Q18">
        <v>4.2</v>
      </c>
      <c r="R18">
        <v>6.5</v>
      </c>
      <c r="S18">
        <f t="shared" si="0"/>
        <v>2.2999999999999998</v>
      </c>
      <c r="T18">
        <v>35</v>
      </c>
      <c r="W18" t="s">
        <v>126</v>
      </c>
      <c r="X18" t="s">
        <v>127</v>
      </c>
      <c r="Y18" t="s">
        <v>126</v>
      </c>
    </row>
    <row r="19" spans="1:25" x14ac:dyDescent="0.3">
      <c r="A19" s="1"/>
      <c r="D19" t="s">
        <v>110</v>
      </c>
      <c r="H19" t="s">
        <v>5</v>
      </c>
      <c r="J19" s="2" t="str">
        <f>자릿수평균계산(I19)</f>
        <v/>
      </c>
      <c r="L19" s="2" t="str">
        <f>자릿수평균계산(K19)</f>
        <v/>
      </c>
      <c r="S19" t="str">
        <f t="shared" si="0"/>
        <v/>
      </c>
    </row>
    <row r="20" spans="1:25" x14ac:dyDescent="0.3">
      <c r="A20" s="1"/>
      <c r="F20" s="16">
        <v>45826</v>
      </c>
      <c r="H20" t="s">
        <v>6</v>
      </c>
      <c r="I20" t="s">
        <v>411</v>
      </c>
      <c r="J20" s="2">
        <f>자릿수평균계산(I20)</f>
        <v>2.5</v>
      </c>
      <c r="K20" t="s">
        <v>412</v>
      </c>
      <c r="L20" s="2">
        <f>자릿수평균계산(K20)</f>
        <v>3.1666666666666665</v>
      </c>
      <c r="M20" t="s">
        <v>410</v>
      </c>
      <c r="N20" s="2" t="s">
        <v>410</v>
      </c>
      <c r="O20">
        <v>0</v>
      </c>
      <c r="Q20">
        <v>3.3</v>
      </c>
      <c r="R20">
        <v>3.3</v>
      </c>
      <c r="S20">
        <f t="shared" si="0"/>
        <v>0</v>
      </c>
      <c r="T20">
        <v>0</v>
      </c>
      <c r="U20" s="13">
        <v>1</v>
      </c>
      <c r="W20" t="s">
        <v>420</v>
      </c>
      <c r="X20" t="s">
        <v>420</v>
      </c>
      <c r="Y20" t="s">
        <v>421</v>
      </c>
    </row>
    <row r="21" spans="1:25" x14ac:dyDescent="0.3">
      <c r="A21" s="1"/>
      <c r="H21" t="s">
        <v>7</v>
      </c>
      <c r="J21" s="2" t="str">
        <f>자릿수평균계산(I21)</f>
        <v/>
      </c>
      <c r="L21" s="2" t="str">
        <f>자릿수평균계산(K21)</f>
        <v/>
      </c>
      <c r="S21" t="str">
        <f t="shared" si="0"/>
        <v/>
      </c>
    </row>
    <row r="22" spans="1:25" x14ac:dyDescent="0.3">
      <c r="A22" s="1"/>
      <c r="J22" s="2"/>
      <c r="L22" s="2"/>
      <c r="S22" t="str">
        <f t="shared" si="0"/>
        <v/>
      </c>
    </row>
    <row r="23" spans="1:25" x14ac:dyDescent="0.3">
      <c r="A23" s="1">
        <v>5</v>
      </c>
      <c r="B23" t="s">
        <v>108</v>
      </c>
      <c r="C23">
        <v>6011478</v>
      </c>
      <c r="D23" t="s">
        <v>139</v>
      </c>
      <c r="F23" s="16">
        <v>45616</v>
      </c>
      <c r="H23" t="s">
        <v>4</v>
      </c>
      <c r="I23" t="s">
        <v>117</v>
      </c>
      <c r="J23" s="2">
        <f>자릿수평균계산(I23)</f>
        <v>4.5</v>
      </c>
      <c r="K23" t="s">
        <v>118</v>
      </c>
      <c r="L23" s="2">
        <f>(6+2+7+4+4+10)/6</f>
        <v>5.5</v>
      </c>
      <c r="M23" t="s">
        <v>123</v>
      </c>
      <c r="N23" s="2" t="s">
        <v>121</v>
      </c>
      <c r="O23">
        <v>1</v>
      </c>
      <c r="Q23">
        <v>3.8</v>
      </c>
      <c r="R23">
        <v>8.4</v>
      </c>
      <c r="S23">
        <f t="shared" si="0"/>
        <v>4.6000000000000005</v>
      </c>
      <c r="T23">
        <v>32</v>
      </c>
      <c r="W23" t="s">
        <v>126</v>
      </c>
      <c r="X23" t="s">
        <v>127</v>
      </c>
      <c r="Y23" t="s">
        <v>126</v>
      </c>
    </row>
    <row r="24" spans="1:25" x14ac:dyDescent="0.3">
      <c r="A24" s="1"/>
      <c r="D24" t="s">
        <v>111</v>
      </c>
      <c r="H24" t="s">
        <v>5</v>
      </c>
      <c r="J24" s="2" t="str">
        <f>자릿수평균계산(I24)</f>
        <v/>
      </c>
      <c r="L24" s="2" t="str">
        <f>자릿수평균계산(K24)</f>
        <v/>
      </c>
      <c r="S24" t="str">
        <f t="shared" si="0"/>
        <v/>
      </c>
    </row>
    <row r="25" spans="1:25" x14ac:dyDescent="0.3">
      <c r="A25" s="1"/>
      <c r="F25" s="16">
        <v>45826</v>
      </c>
      <c r="H25" t="s">
        <v>6</v>
      </c>
      <c r="I25" t="s">
        <v>413</v>
      </c>
      <c r="J25" s="2">
        <f>자릿수평균계산(I25)</f>
        <v>3.5</v>
      </c>
      <c r="K25" t="s">
        <v>414</v>
      </c>
      <c r="L25" s="2">
        <f>자릿수평균계산(K25)</f>
        <v>5</v>
      </c>
      <c r="M25" t="s">
        <v>410</v>
      </c>
      <c r="N25" s="2" t="s">
        <v>410</v>
      </c>
      <c r="O25">
        <v>0</v>
      </c>
      <c r="Q25">
        <v>2.8</v>
      </c>
      <c r="R25">
        <v>2.8</v>
      </c>
      <c r="S25">
        <f t="shared" si="0"/>
        <v>0</v>
      </c>
      <c r="T25">
        <v>0</v>
      </c>
      <c r="U25" s="13">
        <v>1</v>
      </c>
      <c r="W25" t="s">
        <v>420</v>
      </c>
      <c r="X25" t="s">
        <v>420</v>
      </c>
      <c r="Y25" t="s">
        <v>421</v>
      </c>
    </row>
    <row r="26" spans="1:25" x14ac:dyDescent="0.3">
      <c r="A26" s="1"/>
      <c r="H26" t="s">
        <v>7</v>
      </c>
      <c r="J26" s="2" t="str">
        <f>자릿수평균계산(I26)</f>
        <v/>
      </c>
      <c r="L26" s="2" t="str">
        <f>자릿수평균계산(K26)</f>
        <v/>
      </c>
      <c r="S26" t="str">
        <f t="shared" si="0"/>
        <v/>
      </c>
    </row>
    <row r="27" spans="1:25" x14ac:dyDescent="0.3">
      <c r="A27" s="1"/>
      <c r="J27" s="2"/>
      <c r="L27" s="2"/>
      <c r="S27" t="str">
        <f t="shared" si="0"/>
        <v/>
      </c>
    </row>
    <row r="28" spans="1:25" x14ac:dyDescent="0.3">
      <c r="A28" s="1">
        <v>6</v>
      </c>
      <c r="B28" t="s">
        <v>108</v>
      </c>
      <c r="C28">
        <v>6011478</v>
      </c>
      <c r="D28" t="s">
        <v>140</v>
      </c>
      <c r="F28" s="16">
        <v>45616</v>
      </c>
      <c r="H28" t="s">
        <v>4</v>
      </c>
      <c r="I28" t="s">
        <v>119</v>
      </c>
      <c r="J28" s="2">
        <f>자릿수평균계산(I28)</f>
        <v>4.5</v>
      </c>
      <c r="K28" t="s">
        <v>120</v>
      </c>
      <c r="L28" s="2">
        <f>(6+4+10+7+7+10)/6</f>
        <v>7.333333333333333</v>
      </c>
      <c r="M28" t="s">
        <v>124</v>
      </c>
      <c r="N28" s="2" t="s">
        <v>121</v>
      </c>
      <c r="O28">
        <v>1</v>
      </c>
      <c r="Q28">
        <v>3.1</v>
      </c>
      <c r="R28">
        <v>7</v>
      </c>
      <c r="S28">
        <f t="shared" si="0"/>
        <v>3.9</v>
      </c>
      <c r="T28">
        <v>29</v>
      </c>
      <c r="W28" t="s">
        <v>126</v>
      </c>
      <c r="X28" t="s">
        <v>127</v>
      </c>
      <c r="Y28" t="s">
        <v>126</v>
      </c>
    </row>
    <row r="29" spans="1:25" x14ac:dyDescent="0.3">
      <c r="A29" s="1"/>
      <c r="D29" t="s">
        <v>112</v>
      </c>
      <c r="H29" t="s">
        <v>5</v>
      </c>
      <c r="J29" s="2" t="str">
        <f>자릿수평균계산(I29)</f>
        <v/>
      </c>
      <c r="L29" s="2" t="str">
        <f>자릿수평균계산(K29)</f>
        <v/>
      </c>
      <c r="S29" t="str">
        <f t="shared" si="0"/>
        <v/>
      </c>
    </row>
    <row r="30" spans="1:25" x14ac:dyDescent="0.3">
      <c r="A30" s="1"/>
      <c r="F30" s="16">
        <v>45826</v>
      </c>
      <c r="H30" t="s">
        <v>6</v>
      </c>
      <c r="I30" t="s">
        <v>415</v>
      </c>
      <c r="J30" s="2">
        <f>자릿수평균계산(I30)</f>
        <v>3.8333333333333335</v>
      </c>
      <c r="K30" t="s">
        <v>416</v>
      </c>
      <c r="L30" s="2">
        <f>자릿수평균계산(K30)</f>
        <v>6.166666666666667</v>
      </c>
      <c r="M30" t="s">
        <v>417</v>
      </c>
      <c r="N30" s="2" t="s">
        <v>410</v>
      </c>
      <c r="O30">
        <v>1</v>
      </c>
      <c r="Q30">
        <v>2.7</v>
      </c>
      <c r="R30">
        <v>2.7</v>
      </c>
      <c r="S30">
        <f t="shared" si="0"/>
        <v>0</v>
      </c>
      <c r="T30">
        <v>0</v>
      </c>
      <c r="U30" s="13">
        <v>1</v>
      </c>
      <c r="W30" t="s">
        <v>420</v>
      </c>
      <c r="X30" t="s">
        <v>420</v>
      </c>
      <c r="Y30" t="s">
        <v>421</v>
      </c>
    </row>
    <row r="31" spans="1:25" x14ac:dyDescent="0.3">
      <c r="A31" s="1"/>
      <c r="H31" t="s">
        <v>7</v>
      </c>
      <c r="J31" s="2" t="str">
        <f>자릿수평균계산(I31)</f>
        <v/>
      </c>
      <c r="L31" s="2" t="str">
        <f>자릿수평균계산(K31)</f>
        <v/>
      </c>
      <c r="S31" t="str">
        <f t="shared" si="0"/>
        <v/>
      </c>
    </row>
    <row r="32" spans="1:25" x14ac:dyDescent="0.3">
      <c r="A32" s="1"/>
      <c r="J32" s="2"/>
      <c r="L32" s="2"/>
      <c r="S32" t="str">
        <f t="shared" si="0"/>
        <v/>
      </c>
    </row>
    <row r="33" spans="1:25" x14ac:dyDescent="0.3">
      <c r="A33" s="1">
        <v>7</v>
      </c>
      <c r="B33" t="s">
        <v>215</v>
      </c>
      <c r="C33">
        <v>2233135</v>
      </c>
      <c r="D33" t="s">
        <v>216</v>
      </c>
      <c r="F33" s="16">
        <v>45681</v>
      </c>
      <c r="H33" t="s">
        <v>4</v>
      </c>
      <c r="I33" t="s">
        <v>221</v>
      </c>
      <c r="J33" s="2">
        <f>(9+9+12+3+3+7)/6</f>
        <v>7.166666666666667</v>
      </c>
      <c r="K33" t="s">
        <v>221</v>
      </c>
      <c r="L33" s="2">
        <f>(9+9+12+3+3+7)/6</f>
        <v>7.166666666666667</v>
      </c>
      <c r="M33" t="s">
        <v>224</v>
      </c>
      <c r="N33" s="2" t="s">
        <v>224</v>
      </c>
      <c r="O33">
        <v>1</v>
      </c>
      <c r="Q33">
        <v>2.5</v>
      </c>
      <c r="R33">
        <v>9.5</v>
      </c>
      <c r="S33">
        <f t="shared" si="0"/>
        <v>7</v>
      </c>
      <c r="T33">
        <v>24</v>
      </c>
      <c r="W33" t="s">
        <v>343</v>
      </c>
      <c r="X33" t="s">
        <v>344</v>
      </c>
      <c r="Y33" t="s">
        <v>343</v>
      </c>
    </row>
    <row r="34" spans="1:25" x14ac:dyDescent="0.3">
      <c r="A34" s="1"/>
      <c r="D34" t="s">
        <v>217</v>
      </c>
      <c r="F34" s="16">
        <v>45769</v>
      </c>
      <c r="H34" t="s">
        <v>5</v>
      </c>
      <c r="I34" t="s">
        <v>342</v>
      </c>
      <c r="J34" s="2">
        <f>자릿수평균계산(I34)</f>
        <v>4.166666666666667</v>
      </c>
      <c r="K34" t="s">
        <v>342</v>
      </c>
      <c r="L34" s="2">
        <f>자릿수평균계산(K34)</f>
        <v>4.166666666666667</v>
      </c>
      <c r="M34" t="s">
        <v>340</v>
      </c>
      <c r="N34" s="2" t="s">
        <v>340</v>
      </c>
      <c r="O34">
        <v>1</v>
      </c>
      <c r="Q34">
        <v>1.8</v>
      </c>
      <c r="R34">
        <v>1.8</v>
      </c>
      <c r="S34">
        <f t="shared" si="0"/>
        <v>0</v>
      </c>
      <c r="T34">
        <v>0</v>
      </c>
      <c r="U34" s="13">
        <v>1</v>
      </c>
      <c r="W34" t="s">
        <v>343</v>
      </c>
      <c r="X34" t="s">
        <v>344</v>
      </c>
      <c r="Y34" t="s">
        <v>343</v>
      </c>
    </row>
    <row r="35" spans="1:25" x14ac:dyDescent="0.3">
      <c r="A35" s="1"/>
      <c r="D35" t="s">
        <v>218</v>
      </c>
      <c r="H35" t="s">
        <v>6</v>
      </c>
      <c r="J35" s="2" t="str">
        <f>자릿수평균계산(I35)</f>
        <v/>
      </c>
      <c r="L35" s="2" t="str">
        <f>자릿수평균계산(K35)</f>
        <v/>
      </c>
      <c r="S35" t="str">
        <f t="shared" si="0"/>
        <v/>
      </c>
    </row>
    <row r="36" spans="1:25" x14ac:dyDescent="0.3">
      <c r="A36" s="1"/>
      <c r="H36" t="s">
        <v>7</v>
      </c>
      <c r="J36" s="2" t="str">
        <f>자릿수평균계산(I36)</f>
        <v/>
      </c>
      <c r="L36" s="2" t="str">
        <f>자릿수평균계산(K36)</f>
        <v/>
      </c>
      <c r="S36" t="str">
        <f t="shared" si="0"/>
        <v/>
      </c>
    </row>
    <row r="37" spans="1:25" x14ac:dyDescent="0.3">
      <c r="A37" s="1"/>
      <c r="J37" s="2"/>
      <c r="L37" s="2"/>
      <c r="S37" t="str">
        <f t="shared" si="0"/>
        <v/>
      </c>
    </row>
    <row r="38" spans="1:25" x14ac:dyDescent="0.3">
      <c r="A38" s="1">
        <v>8</v>
      </c>
      <c r="B38" t="s">
        <v>215</v>
      </c>
      <c r="C38">
        <v>2233135</v>
      </c>
      <c r="D38" t="s">
        <v>219</v>
      </c>
      <c r="F38" s="16">
        <v>45681</v>
      </c>
      <c r="H38" t="s">
        <v>4</v>
      </c>
      <c r="I38" t="s">
        <v>222</v>
      </c>
      <c r="J38" s="2">
        <f>자릿수평균계산(I38)</f>
        <v>3.6666666666666665</v>
      </c>
      <c r="K38" t="s">
        <v>223</v>
      </c>
      <c r="L38" s="2">
        <f>자릿수평균계산(K38)</f>
        <v>3.6666666666666665</v>
      </c>
      <c r="M38" t="s">
        <v>224</v>
      </c>
      <c r="N38" s="2" t="s">
        <v>225</v>
      </c>
      <c r="O38">
        <v>1</v>
      </c>
      <c r="Q38">
        <v>3.2</v>
      </c>
      <c r="R38">
        <v>6.1</v>
      </c>
      <c r="S38">
        <f t="shared" si="0"/>
        <v>2.8999999999999995</v>
      </c>
      <c r="T38">
        <v>33</v>
      </c>
      <c r="W38" t="s">
        <v>343</v>
      </c>
      <c r="X38" t="s">
        <v>344</v>
      </c>
      <c r="Y38" t="s">
        <v>343</v>
      </c>
    </row>
    <row r="39" spans="1:25" x14ac:dyDescent="0.3">
      <c r="A39" s="1"/>
      <c r="D39" t="s">
        <v>220</v>
      </c>
      <c r="F39" s="16">
        <v>45769</v>
      </c>
      <c r="H39" t="s">
        <v>5</v>
      </c>
      <c r="I39" t="s">
        <v>341</v>
      </c>
      <c r="J39" s="2">
        <f>자릿수평균계산(I39)</f>
        <v>3.5</v>
      </c>
      <c r="K39" t="s">
        <v>341</v>
      </c>
      <c r="L39" s="2">
        <f>자릿수평균계산(K39)</f>
        <v>3.5</v>
      </c>
      <c r="M39" t="s">
        <v>340</v>
      </c>
      <c r="N39" s="2" t="s">
        <v>340</v>
      </c>
      <c r="O39">
        <v>0</v>
      </c>
      <c r="Q39">
        <v>2.4</v>
      </c>
      <c r="R39">
        <v>2.4</v>
      </c>
      <c r="S39">
        <f t="shared" si="0"/>
        <v>0</v>
      </c>
      <c r="T39">
        <v>0</v>
      </c>
      <c r="U39" s="13">
        <v>1</v>
      </c>
      <c r="W39" t="s">
        <v>343</v>
      </c>
      <c r="X39" t="s">
        <v>344</v>
      </c>
      <c r="Y39" t="s">
        <v>343</v>
      </c>
    </row>
    <row r="40" spans="1:25" x14ac:dyDescent="0.3">
      <c r="A40" s="1"/>
      <c r="H40" t="s">
        <v>6</v>
      </c>
      <c r="J40" s="2" t="str">
        <f>자릿수평균계산(I40)</f>
        <v/>
      </c>
      <c r="L40" s="2" t="str">
        <f>자릿수평균계산(K40)</f>
        <v/>
      </c>
      <c r="S40" t="str">
        <f t="shared" si="0"/>
        <v/>
      </c>
    </row>
    <row r="41" spans="1:25" x14ac:dyDescent="0.3">
      <c r="A41" s="1"/>
      <c r="H41" t="s">
        <v>7</v>
      </c>
      <c r="J41" s="2" t="str">
        <f>자릿수평균계산(I41)</f>
        <v/>
      </c>
      <c r="L41" s="2" t="str">
        <f>자릿수평균계산(K41)</f>
        <v/>
      </c>
      <c r="S41" t="str">
        <f t="shared" si="0"/>
        <v/>
      </c>
    </row>
    <row r="42" spans="1:25" x14ac:dyDescent="0.3">
      <c r="A42" s="1"/>
      <c r="J42" s="2"/>
      <c r="L42" s="2"/>
      <c r="S42" t="str">
        <f t="shared" si="0"/>
        <v/>
      </c>
    </row>
    <row r="43" spans="1:25" x14ac:dyDescent="0.3">
      <c r="A43" s="1">
        <v>9</v>
      </c>
      <c r="B43" t="s">
        <v>227</v>
      </c>
      <c r="C43">
        <v>3175978</v>
      </c>
      <c r="D43" t="s">
        <v>228</v>
      </c>
      <c r="F43" s="16">
        <v>45688</v>
      </c>
      <c r="H43" t="s">
        <v>4</v>
      </c>
      <c r="I43" t="s">
        <v>547</v>
      </c>
      <c r="J43" s="2">
        <f>자릿수평균계산(I43)</f>
        <v>3.1666666666666665</v>
      </c>
      <c r="K43" t="s">
        <v>230</v>
      </c>
      <c r="L43" s="2">
        <f>자릿수평균계산(K43)</f>
        <v>3.8333333333333335</v>
      </c>
      <c r="M43" t="s">
        <v>231</v>
      </c>
      <c r="N43" s="2" t="s">
        <v>232</v>
      </c>
      <c r="O43">
        <v>0</v>
      </c>
      <c r="Q43">
        <v>5</v>
      </c>
      <c r="R43">
        <v>8.4</v>
      </c>
      <c r="S43">
        <f t="shared" si="0"/>
        <v>3.4000000000000004</v>
      </c>
      <c r="T43">
        <v>42</v>
      </c>
      <c r="W43" t="s">
        <v>343</v>
      </c>
      <c r="X43" t="s">
        <v>344</v>
      </c>
      <c r="Y43" t="s">
        <v>343</v>
      </c>
    </row>
    <row r="44" spans="1:25" x14ac:dyDescent="0.3">
      <c r="A44" s="1"/>
      <c r="D44" t="s">
        <v>229</v>
      </c>
      <c r="F44" s="16">
        <v>45784</v>
      </c>
      <c r="H44" t="s">
        <v>5</v>
      </c>
      <c r="I44" t="s">
        <v>412</v>
      </c>
      <c r="J44" s="2">
        <f>자릿수평균계산(I44)</f>
        <v>3.1666666666666665</v>
      </c>
      <c r="K44" t="s">
        <v>546</v>
      </c>
      <c r="L44" s="2">
        <f>자릿수평균계산(K44)</f>
        <v>3.6666666666666665</v>
      </c>
      <c r="M44" t="s">
        <v>369</v>
      </c>
      <c r="N44" s="2" t="s">
        <v>361</v>
      </c>
      <c r="O44">
        <v>0</v>
      </c>
      <c r="Q44">
        <v>5</v>
      </c>
      <c r="R44">
        <v>7.4</v>
      </c>
      <c r="S44">
        <f t="shared" si="0"/>
        <v>2.4000000000000004</v>
      </c>
      <c r="T44">
        <v>29</v>
      </c>
      <c r="U44" s="13">
        <v>0.3</v>
      </c>
      <c r="W44" t="s">
        <v>370</v>
      </c>
      <c r="X44" t="s">
        <v>371</v>
      </c>
      <c r="Y44" t="s">
        <v>372</v>
      </c>
    </row>
    <row r="45" spans="1:25" x14ac:dyDescent="0.3">
      <c r="A45" s="1"/>
      <c r="H45" t="s">
        <v>6</v>
      </c>
      <c r="I45" t="s">
        <v>545</v>
      </c>
      <c r="J45" s="2">
        <f>자릿수평균계산(I45)</f>
        <v>3.1666666666666665</v>
      </c>
      <c r="K45" t="s">
        <v>548</v>
      </c>
      <c r="L45" s="2">
        <f>자릿수평균계산(K45)</f>
        <v>3.6666666666666665</v>
      </c>
      <c r="M45" t="s">
        <v>542</v>
      </c>
      <c r="N45" s="2" t="s">
        <v>542</v>
      </c>
      <c r="O45">
        <v>0</v>
      </c>
      <c r="Q45">
        <v>5</v>
      </c>
      <c r="R45">
        <v>7.4</v>
      </c>
      <c r="S45">
        <f t="shared" si="0"/>
        <v>2.4000000000000004</v>
      </c>
      <c r="U45" s="13">
        <v>0.3</v>
      </c>
      <c r="W45" t="s">
        <v>543</v>
      </c>
      <c r="X45" t="s">
        <v>543</v>
      </c>
      <c r="Y45" t="s">
        <v>543</v>
      </c>
    </row>
    <row r="46" spans="1:25" x14ac:dyDescent="0.3">
      <c r="A46" s="1"/>
      <c r="H46" t="s">
        <v>7</v>
      </c>
      <c r="J46" s="2" t="str">
        <f>자릿수평균계산(I46)</f>
        <v/>
      </c>
      <c r="L46" s="2" t="str">
        <f>자릿수평균계산(K46)</f>
        <v/>
      </c>
      <c r="S46" t="str">
        <f t="shared" si="0"/>
        <v/>
      </c>
    </row>
    <row r="47" spans="1:25" x14ac:dyDescent="0.3">
      <c r="A47" s="1"/>
      <c r="J47" s="2"/>
      <c r="L47" s="2"/>
      <c r="S47" t="str">
        <f t="shared" si="0"/>
        <v/>
      </c>
    </row>
    <row r="48" spans="1:25" x14ac:dyDescent="0.3">
      <c r="A48" s="1">
        <v>10</v>
      </c>
      <c r="B48" t="s">
        <v>349</v>
      </c>
      <c r="C48">
        <v>6084228</v>
      </c>
      <c r="D48" t="s">
        <v>351</v>
      </c>
      <c r="F48" s="16">
        <v>45770</v>
      </c>
      <c r="H48" t="s">
        <v>4</v>
      </c>
      <c r="I48" t="s">
        <v>353</v>
      </c>
      <c r="J48" s="2">
        <f>자릿수평균계산(I48)</f>
        <v>4.833333333333333</v>
      </c>
      <c r="K48" t="s">
        <v>353</v>
      </c>
      <c r="L48" s="2">
        <f>자릿수평균계산(K48)</f>
        <v>4.833333333333333</v>
      </c>
      <c r="M48" t="s">
        <v>355</v>
      </c>
      <c r="N48" s="2" t="s">
        <v>355</v>
      </c>
      <c r="O48">
        <v>1</v>
      </c>
      <c r="Q48">
        <v>5.2</v>
      </c>
      <c r="R48">
        <v>8.1999999999999993</v>
      </c>
      <c r="S48">
        <f t="shared" si="0"/>
        <v>2.9999999999999991</v>
      </c>
      <c r="T48">
        <v>38</v>
      </c>
      <c r="W48" t="s">
        <v>356</v>
      </c>
      <c r="X48" t="s">
        <v>356</v>
      </c>
      <c r="Y48" t="s">
        <v>357</v>
      </c>
    </row>
    <row r="49" spans="1:25" x14ac:dyDescent="0.3">
      <c r="A49" s="1"/>
      <c r="H49" t="s">
        <v>5</v>
      </c>
      <c r="J49" s="2" t="str">
        <f>자릿수평균계산(I49)</f>
        <v/>
      </c>
      <c r="L49" s="2" t="str">
        <f>자릿수평균계산(K49)</f>
        <v/>
      </c>
      <c r="S49" t="str">
        <f t="shared" si="0"/>
        <v/>
      </c>
    </row>
    <row r="50" spans="1:25" x14ac:dyDescent="0.3">
      <c r="A50" s="1"/>
      <c r="H50" t="s">
        <v>6</v>
      </c>
      <c r="J50" s="2" t="str">
        <f>자릿수평균계산(I50)</f>
        <v/>
      </c>
      <c r="L50" s="2" t="str">
        <f>자릿수평균계산(K50)</f>
        <v/>
      </c>
      <c r="S50" t="str">
        <f t="shared" si="0"/>
        <v/>
      </c>
    </row>
    <row r="51" spans="1:25" x14ac:dyDescent="0.3">
      <c r="A51" s="1"/>
      <c r="H51" t="s">
        <v>7</v>
      </c>
      <c r="J51" s="2" t="str">
        <f>자릿수평균계산(I51)</f>
        <v/>
      </c>
      <c r="L51" s="2" t="str">
        <f>자릿수평균계산(K51)</f>
        <v/>
      </c>
      <c r="S51" t="str">
        <f t="shared" si="0"/>
        <v/>
      </c>
    </row>
    <row r="52" spans="1:25" x14ac:dyDescent="0.3">
      <c r="A52" s="1"/>
      <c r="J52" s="2"/>
      <c r="L52" s="2"/>
      <c r="S52" t="str">
        <f t="shared" si="0"/>
        <v/>
      </c>
    </row>
    <row r="53" spans="1:25" x14ac:dyDescent="0.3">
      <c r="A53" s="22">
        <v>11</v>
      </c>
      <c r="B53" t="s">
        <v>349</v>
      </c>
      <c r="C53">
        <v>6084228</v>
      </c>
      <c r="D53" t="s">
        <v>352</v>
      </c>
      <c r="F53" s="16">
        <v>45770</v>
      </c>
      <c r="H53" t="s">
        <v>4</v>
      </c>
      <c r="I53" t="s">
        <v>354</v>
      </c>
      <c r="J53" s="2">
        <f>자릿수평균계산(I53)</f>
        <v>3.5</v>
      </c>
      <c r="K53" t="s">
        <v>354</v>
      </c>
      <c r="L53" s="2">
        <f>자릿수평균계산(K53)</f>
        <v>3.5</v>
      </c>
      <c r="M53" t="s">
        <v>355</v>
      </c>
      <c r="N53" s="2" t="s">
        <v>355</v>
      </c>
      <c r="O53">
        <v>1</v>
      </c>
      <c r="Q53">
        <v>5.2</v>
      </c>
      <c r="R53">
        <v>7.9</v>
      </c>
      <c r="S53">
        <f t="shared" si="0"/>
        <v>2.7</v>
      </c>
      <c r="T53">
        <v>34</v>
      </c>
      <c r="W53" t="s">
        <v>356</v>
      </c>
      <c r="X53" t="s">
        <v>356</v>
      </c>
      <c r="Y53" t="s">
        <v>357</v>
      </c>
    </row>
    <row r="54" spans="1:25" x14ac:dyDescent="0.3">
      <c r="A54" s="22"/>
      <c r="H54" t="s">
        <v>5</v>
      </c>
      <c r="J54" s="2" t="str">
        <f>자릿수평균계산(I54)</f>
        <v/>
      </c>
      <c r="L54" s="2" t="str">
        <f>자릿수평균계산(K54)</f>
        <v/>
      </c>
      <c r="S54" t="str">
        <f t="shared" si="0"/>
        <v/>
      </c>
    </row>
    <row r="55" spans="1:25" x14ac:dyDescent="0.3">
      <c r="A55" s="22"/>
      <c r="H55" t="s">
        <v>6</v>
      </c>
      <c r="J55" s="2" t="str">
        <f>자릿수평균계산(I55)</f>
        <v/>
      </c>
      <c r="L55" s="2" t="str">
        <f>자릿수평균계산(K55)</f>
        <v/>
      </c>
      <c r="S55" t="str">
        <f t="shared" si="0"/>
        <v/>
      </c>
    </row>
    <row r="56" spans="1:25" x14ac:dyDescent="0.3">
      <c r="A56" s="22"/>
      <c r="H56" t="s">
        <v>7</v>
      </c>
      <c r="J56" s="2" t="str">
        <f>자릿수평균계산(I56)</f>
        <v/>
      </c>
      <c r="L56" s="2" t="str">
        <f>자릿수평균계산(K56)</f>
        <v/>
      </c>
      <c r="S56" t="str">
        <f t="shared" si="0"/>
        <v/>
      </c>
    </row>
    <row r="57" spans="1:25" x14ac:dyDescent="0.3">
      <c r="I57" s="2"/>
      <c r="K57" s="2"/>
      <c r="S57" t="str">
        <f t="shared" si="0"/>
        <v/>
      </c>
    </row>
    <row r="58" spans="1:25" x14ac:dyDescent="0.3">
      <c r="A58" s="22">
        <v>12</v>
      </c>
      <c r="B58" t="s">
        <v>388</v>
      </c>
      <c r="C58">
        <v>1584929</v>
      </c>
      <c r="D58" t="s">
        <v>389</v>
      </c>
      <c r="F58" s="16">
        <v>45812</v>
      </c>
      <c r="H58" t="s">
        <v>4</v>
      </c>
      <c r="I58" t="s">
        <v>390</v>
      </c>
      <c r="J58" s="2">
        <f>자릿수평균계산(I58)</f>
        <v>3.6666666666666665</v>
      </c>
      <c r="K58" t="s">
        <v>390</v>
      </c>
      <c r="L58" s="2">
        <f>자릿수평균계산(K58)</f>
        <v>3.6666666666666665</v>
      </c>
      <c r="M58" t="s">
        <v>391</v>
      </c>
      <c r="N58" s="2" t="s">
        <v>392</v>
      </c>
      <c r="O58">
        <v>0</v>
      </c>
      <c r="Q58">
        <v>4</v>
      </c>
      <c r="R58">
        <v>7.3</v>
      </c>
      <c r="S58">
        <f t="shared" si="0"/>
        <v>3.3</v>
      </c>
      <c r="T58">
        <v>36</v>
      </c>
      <c r="W58" t="s">
        <v>393</v>
      </c>
      <c r="X58" t="s">
        <v>394</v>
      </c>
      <c r="Y58" t="s">
        <v>393</v>
      </c>
    </row>
    <row r="59" spans="1:25" x14ac:dyDescent="0.3">
      <c r="A59" s="22"/>
      <c r="H59" t="s">
        <v>5</v>
      </c>
      <c r="J59" s="2" t="str">
        <f>자릿수평균계산(I59)</f>
        <v/>
      </c>
      <c r="L59" s="2" t="str">
        <f>자릿수평균계산(K59)</f>
        <v/>
      </c>
      <c r="S59" t="str">
        <f t="shared" si="0"/>
        <v/>
      </c>
    </row>
    <row r="60" spans="1:25" x14ac:dyDescent="0.3">
      <c r="A60" s="22"/>
      <c r="H60" t="s">
        <v>6</v>
      </c>
      <c r="J60" s="2" t="str">
        <f>자릿수평균계산(I60)</f>
        <v/>
      </c>
      <c r="L60" s="2" t="str">
        <f>자릿수평균계산(K60)</f>
        <v/>
      </c>
      <c r="S60" t="str">
        <f t="shared" si="0"/>
        <v/>
      </c>
    </row>
    <row r="61" spans="1:25" x14ac:dyDescent="0.3">
      <c r="A61" s="22"/>
      <c r="H61" t="s">
        <v>7</v>
      </c>
      <c r="J61" s="2" t="str">
        <f>자릿수평균계산(I61)</f>
        <v/>
      </c>
      <c r="L61" s="2" t="str">
        <f>자릿수평균계산(K61)</f>
        <v/>
      </c>
      <c r="S61" t="str">
        <f t="shared" si="0"/>
        <v/>
      </c>
    </row>
  </sheetData>
  <mergeCells count="3">
    <mergeCell ref="A1:F1"/>
    <mergeCell ref="I1:N1"/>
    <mergeCell ref="Q1:U1"/>
  </mergeCells>
  <phoneticPr fontId="1" type="noConversion"/>
  <conditionalFormatting sqref="P1 T2:U2 M30:R52 M29:P29 M25:R28 M24:P24 M20:R23 M19:P19 M15:R18 M14:P14 M2:R13 T13 T18 T23 T28 T4:T5 T33:T34 T38:T39 T48 T8:T10 T43:T44 T15 T20 T25 T30">
    <cfRule type="cellIs" dxfId="1007" priority="4" operator="equal">
      <formula>"+"</formula>
    </cfRule>
  </conditionalFormatting>
  <conditionalFormatting sqref="L57:M57">
    <cfRule type="cellIs" dxfId="1006" priority="3" operator="equal">
      <formula>"+"</formula>
    </cfRule>
  </conditionalFormatting>
  <conditionalFormatting sqref="M53:R56 T53">
    <cfRule type="cellIs" dxfId="1005" priority="2" operator="equal">
      <formula>"+"</formula>
    </cfRule>
  </conditionalFormatting>
  <conditionalFormatting sqref="M58:R61 T58">
    <cfRule type="cellIs" dxfId="1004" priority="1" operator="equal">
      <formula>"+"</formula>
    </cfRule>
  </conditionalFormatting>
  <pageMargins left="0.7" right="0.7" top="0.75" bottom="0.75" header="0.3" footer="0.3"/>
  <pageSetup paperSize="9" scale="45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R39"/>
  <sheetViews>
    <sheetView workbookViewId="0">
      <selection activeCell="Q11" sqref="Q11"/>
    </sheetView>
  </sheetViews>
  <sheetFormatPr defaultRowHeight="16.5" x14ac:dyDescent="0.3"/>
  <sheetData>
    <row r="1" spans="1:18" x14ac:dyDescent="0.3">
      <c r="A1" t="s">
        <v>455</v>
      </c>
      <c r="B1" t="s">
        <v>456</v>
      </c>
      <c r="C1" t="s">
        <v>457</v>
      </c>
      <c r="D1" t="s">
        <v>458</v>
      </c>
      <c r="E1" t="s">
        <v>459</v>
      </c>
      <c r="G1" t="s">
        <v>460</v>
      </c>
      <c r="H1" t="s">
        <v>461</v>
      </c>
      <c r="I1" t="s">
        <v>462</v>
      </c>
      <c r="J1" t="s">
        <v>463</v>
      </c>
      <c r="L1" t="s">
        <v>464</v>
      </c>
      <c r="M1" t="s">
        <v>465</v>
      </c>
      <c r="N1" t="s">
        <v>466</v>
      </c>
      <c r="O1" t="s">
        <v>467</v>
      </c>
      <c r="Q1" t="s">
        <v>532</v>
      </c>
      <c r="R1" t="s">
        <v>533</v>
      </c>
    </row>
    <row r="2" spans="1:18" x14ac:dyDescent="0.3">
      <c r="A2" t="s">
        <v>468</v>
      </c>
      <c r="B2">
        <v>3.5</v>
      </c>
      <c r="C2">
        <v>2.5</v>
      </c>
      <c r="D2">
        <v>2.33</v>
      </c>
      <c r="E2">
        <v>1.17</v>
      </c>
      <c r="G2">
        <v>4.33</v>
      </c>
      <c r="H2">
        <v>3.17</v>
      </c>
      <c r="I2">
        <v>3</v>
      </c>
      <c r="J2">
        <v>1.33</v>
      </c>
      <c r="L2">
        <v>4</v>
      </c>
      <c r="M2">
        <v>0</v>
      </c>
      <c r="N2">
        <v>0</v>
      </c>
      <c r="O2">
        <v>4</v>
      </c>
      <c r="Q2">
        <v>0</v>
      </c>
      <c r="R2">
        <v>30</v>
      </c>
    </row>
    <row r="3" spans="1:18" x14ac:dyDescent="0.3">
      <c r="A3" t="s">
        <v>471</v>
      </c>
      <c r="B3">
        <v>4.5</v>
      </c>
      <c r="C3">
        <v>2</v>
      </c>
      <c r="D3">
        <v>2.33</v>
      </c>
      <c r="E3">
        <v>2.17</v>
      </c>
      <c r="G3">
        <v>4.5</v>
      </c>
      <c r="H3">
        <v>3</v>
      </c>
      <c r="I3">
        <v>3.33</v>
      </c>
      <c r="J3">
        <v>1.17</v>
      </c>
      <c r="L3">
        <v>1.7</v>
      </c>
      <c r="M3">
        <v>0</v>
      </c>
      <c r="N3">
        <v>0</v>
      </c>
      <c r="O3">
        <v>1.7</v>
      </c>
      <c r="Q3">
        <v>2</v>
      </c>
      <c r="R3">
        <v>30</v>
      </c>
    </row>
    <row r="4" spans="1:18" x14ac:dyDescent="0.3">
      <c r="A4" t="s">
        <v>472</v>
      </c>
      <c r="B4">
        <v>4.17</v>
      </c>
      <c r="C4">
        <v>2</v>
      </c>
      <c r="D4">
        <v>2.67</v>
      </c>
      <c r="E4">
        <v>1.5</v>
      </c>
      <c r="G4">
        <v>4.17</v>
      </c>
      <c r="H4">
        <v>3.17</v>
      </c>
      <c r="I4">
        <v>3.83</v>
      </c>
      <c r="J4">
        <v>0.33</v>
      </c>
      <c r="L4">
        <v>2.8</v>
      </c>
      <c r="M4">
        <v>0</v>
      </c>
      <c r="N4">
        <v>0</v>
      </c>
      <c r="O4">
        <v>2.8</v>
      </c>
      <c r="Q4">
        <v>2</v>
      </c>
      <c r="R4">
        <v>51</v>
      </c>
    </row>
    <row r="5" spans="1:18" x14ac:dyDescent="0.3">
      <c r="A5" t="s">
        <v>473</v>
      </c>
      <c r="B5">
        <v>5.17</v>
      </c>
      <c r="C5">
        <v>2</v>
      </c>
      <c r="D5">
        <v>2.83</v>
      </c>
      <c r="E5">
        <v>2.33</v>
      </c>
      <c r="G5">
        <v>5.17</v>
      </c>
      <c r="H5">
        <v>2.5</v>
      </c>
      <c r="I5">
        <v>3.33</v>
      </c>
      <c r="J5">
        <v>1.83</v>
      </c>
      <c r="L5">
        <v>4.0999999999999996</v>
      </c>
      <c r="M5">
        <v>0</v>
      </c>
      <c r="N5">
        <v>0</v>
      </c>
      <c r="O5">
        <v>4.0999999999999996</v>
      </c>
      <c r="Q5">
        <v>1</v>
      </c>
      <c r="R5">
        <v>27</v>
      </c>
    </row>
    <row r="6" spans="1:18" x14ac:dyDescent="0.3">
      <c r="A6" t="s">
        <v>474</v>
      </c>
      <c r="B6">
        <v>4</v>
      </c>
      <c r="C6">
        <v>2</v>
      </c>
      <c r="D6">
        <v>3.33</v>
      </c>
      <c r="E6">
        <v>0.67</v>
      </c>
      <c r="G6">
        <v>4</v>
      </c>
      <c r="H6">
        <v>2</v>
      </c>
      <c r="I6">
        <v>3.5</v>
      </c>
      <c r="J6">
        <v>0.5</v>
      </c>
      <c r="L6">
        <v>2.6</v>
      </c>
      <c r="M6">
        <v>0</v>
      </c>
      <c r="N6">
        <v>0</v>
      </c>
      <c r="O6">
        <v>2.6</v>
      </c>
      <c r="Q6">
        <v>1</v>
      </c>
      <c r="R6">
        <v>37</v>
      </c>
    </row>
    <row r="7" spans="1:18" x14ac:dyDescent="0.3">
      <c r="A7" t="s">
        <v>475</v>
      </c>
      <c r="B7">
        <v>4.17</v>
      </c>
      <c r="C7">
        <v>3.67</v>
      </c>
      <c r="D7">
        <v>3.17</v>
      </c>
      <c r="E7">
        <v>1</v>
      </c>
      <c r="G7">
        <v>4.33</v>
      </c>
      <c r="H7">
        <v>3.67</v>
      </c>
      <c r="I7">
        <v>3.17</v>
      </c>
      <c r="J7">
        <v>1.17</v>
      </c>
      <c r="L7">
        <v>4.7</v>
      </c>
      <c r="M7">
        <v>0</v>
      </c>
      <c r="N7">
        <v>0</v>
      </c>
      <c r="O7">
        <v>4.7</v>
      </c>
      <c r="Q7">
        <v>0</v>
      </c>
      <c r="R7">
        <v>31</v>
      </c>
    </row>
    <row r="8" spans="1:18" x14ac:dyDescent="0.3">
      <c r="A8" t="s">
        <v>476</v>
      </c>
      <c r="B8">
        <v>4.5</v>
      </c>
      <c r="C8">
        <v>3</v>
      </c>
      <c r="D8">
        <v>2.33</v>
      </c>
      <c r="E8">
        <v>2.17</v>
      </c>
      <c r="G8">
        <v>5</v>
      </c>
      <c r="H8">
        <v>3.33</v>
      </c>
      <c r="I8">
        <v>2.67</v>
      </c>
      <c r="J8">
        <v>2.33</v>
      </c>
      <c r="L8">
        <v>2.59</v>
      </c>
      <c r="M8">
        <v>0</v>
      </c>
      <c r="N8">
        <v>0</v>
      </c>
      <c r="O8">
        <v>2.59</v>
      </c>
      <c r="Q8">
        <v>0</v>
      </c>
      <c r="R8">
        <v>54</v>
      </c>
    </row>
    <row r="9" spans="1:18" x14ac:dyDescent="0.3">
      <c r="A9" t="s">
        <v>477</v>
      </c>
      <c r="B9">
        <v>4.17</v>
      </c>
      <c r="C9">
        <v>2.17</v>
      </c>
      <c r="D9">
        <v>2.17</v>
      </c>
      <c r="E9">
        <v>2</v>
      </c>
      <c r="G9">
        <v>5.5</v>
      </c>
      <c r="H9">
        <v>3.5</v>
      </c>
      <c r="I9">
        <v>3.5</v>
      </c>
      <c r="J9">
        <v>2</v>
      </c>
      <c r="L9">
        <v>4</v>
      </c>
      <c r="M9">
        <v>0</v>
      </c>
      <c r="N9">
        <v>0</v>
      </c>
      <c r="O9">
        <v>4</v>
      </c>
      <c r="Q9">
        <v>0</v>
      </c>
      <c r="R9">
        <v>24</v>
      </c>
    </row>
    <row r="10" spans="1:18" x14ac:dyDescent="0.3">
      <c r="A10" t="s">
        <v>478</v>
      </c>
      <c r="B10">
        <v>5.33</v>
      </c>
      <c r="G10">
        <v>5.33</v>
      </c>
      <c r="L10">
        <v>4.5999999999999996</v>
      </c>
      <c r="Q10">
        <v>0</v>
      </c>
      <c r="R10">
        <v>28</v>
      </c>
    </row>
    <row r="11" spans="1:18" x14ac:dyDescent="0.3">
      <c r="A11" t="s">
        <v>479</v>
      </c>
      <c r="B11">
        <v>4.33</v>
      </c>
      <c r="C11">
        <v>3.5</v>
      </c>
      <c r="G11">
        <v>4.33</v>
      </c>
      <c r="H11">
        <v>4</v>
      </c>
      <c r="L11">
        <v>4</v>
      </c>
      <c r="M11">
        <v>0</v>
      </c>
      <c r="Q11">
        <v>0</v>
      </c>
      <c r="R11" t="s">
        <v>529</v>
      </c>
    </row>
    <row r="12" spans="1:18" x14ac:dyDescent="0.3">
      <c r="A12" t="s">
        <v>480</v>
      </c>
      <c r="B12">
        <v>5</v>
      </c>
      <c r="C12">
        <v>4.17</v>
      </c>
      <c r="G12">
        <v>5</v>
      </c>
      <c r="H12">
        <v>4.17</v>
      </c>
      <c r="L12">
        <v>4.4000000000000004</v>
      </c>
      <c r="M12">
        <v>3.1</v>
      </c>
      <c r="Q12">
        <v>0</v>
      </c>
      <c r="R12" t="s">
        <v>529</v>
      </c>
    </row>
    <row r="13" spans="1:18" x14ac:dyDescent="0.3">
      <c r="A13" t="s">
        <v>481</v>
      </c>
      <c r="B13">
        <v>5.17</v>
      </c>
      <c r="C13">
        <v>3.67</v>
      </c>
      <c r="G13">
        <v>5.17</v>
      </c>
      <c r="H13">
        <v>4.33</v>
      </c>
      <c r="L13">
        <v>6</v>
      </c>
      <c r="M13">
        <v>0</v>
      </c>
      <c r="Q13">
        <v>0</v>
      </c>
      <c r="R13">
        <v>30</v>
      </c>
    </row>
    <row r="15" spans="1:18" x14ac:dyDescent="0.3">
      <c r="A15" t="s">
        <v>469</v>
      </c>
      <c r="B15">
        <v>5</v>
      </c>
      <c r="C15">
        <v>2.17</v>
      </c>
      <c r="D15">
        <v>2.17</v>
      </c>
      <c r="E15">
        <v>2.83</v>
      </c>
      <c r="G15">
        <v>5</v>
      </c>
      <c r="H15">
        <v>2.67</v>
      </c>
      <c r="I15">
        <v>2.67</v>
      </c>
      <c r="J15">
        <v>2.33</v>
      </c>
      <c r="L15">
        <v>6.4</v>
      </c>
      <c r="M15">
        <v>0</v>
      </c>
      <c r="N15">
        <v>0</v>
      </c>
      <c r="O15">
        <v>6.4</v>
      </c>
      <c r="Q15">
        <v>1</v>
      </c>
      <c r="R15">
        <v>20</v>
      </c>
    </row>
    <row r="16" spans="1:18" x14ac:dyDescent="0.3">
      <c r="A16" t="s">
        <v>482</v>
      </c>
      <c r="B16">
        <v>5.17</v>
      </c>
      <c r="D16">
        <v>4</v>
      </c>
      <c r="E16">
        <v>1.17</v>
      </c>
      <c r="G16">
        <v>7.5</v>
      </c>
      <c r="I16">
        <v>6.83</v>
      </c>
      <c r="J16">
        <v>0.67</v>
      </c>
      <c r="L16">
        <v>4.0999999999999996</v>
      </c>
      <c r="N16">
        <v>0</v>
      </c>
      <c r="O16">
        <v>4.0999999999999996</v>
      </c>
      <c r="Q16">
        <v>3</v>
      </c>
      <c r="R16">
        <v>23</v>
      </c>
    </row>
    <row r="17" spans="1:18" x14ac:dyDescent="0.3">
      <c r="A17" t="s">
        <v>483</v>
      </c>
      <c r="B17">
        <v>7.67</v>
      </c>
      <c r="C17">
        <v>2.17</v>
      </c>
      <c r="D17">
        <v>2.33</v>
      </c>
      <c r="E17">
        <v>5.33</v>
      </c>
      <c r="G17">
        <v>9.33</v>
      </c>
      <c r="H17">
        <v>3.5</v>
      </c>
      <c r="I17">
        <v>3.5</v>
      </c>
      <c r="J17">
        <v>5.83</v>
      </c>
      <c r="L17">
        <v>8.3000000000000007</v>
      </c>
      <c r="M17">
        <v>0</v>
      </c>
      <c r="N17">
        <v>0</v>
      </c>
      <c r="O17">
        <v>8.3000000000000007</v>
      </c>
      <c r="Q17">
        <v>2</v>
      </c>
      <c r="R17">
        <v>18</v>
      </c>
    </row>
    <row r="18" spans="1:18" x14ac:dyDescent="0.3">
      <c r="A18" t="s">
        <v>484</v>
      </c>
      <c r="B18">
        <v>4</v>
      </c>
      <c r="G18">
        <v>4</v>
      </c>
      <c r="L18">
        <v>4.0999999999999996</v>
      </c>
      <c r="Q18">
        <v>0</v>
      </c>
      <c r="R18">
        <v>28</v>
      </c>
    </row>
    <row r="19" spans="1:18" x14ac:dyDescent="0.3">
      <c r="A19" t="s">
        <v>485</v>
      </c>
      <c r="B19">
        <v>5</v>
      </c>
      <c r="C19">
        <v>3.33</v>
      </c>
      <c r="D19">
        <v>3.17</v>
      </c>
      <c r="E19">
        <v>1.83</v>
      </c>
      <c r="G19">
        <v>5</v>
      </c>
      <c r="H19">
        <v>3.33</v>
      </c>
      <c r="I19">
        <v>3.17</v>
      </c>
      <c r="J19">
        <v>1.83</v>
      </c>
      <c r="L19">
        <v>6.6</v>
      </c>
      <c r="M19">
        <v>0</v>
      </c>
      <c r="N19">
        <v>0</v>
      </c>
      <c r="O19">
        <v>6.6</v>
      </c>
      <c r="Q19">
        <v>0</v>
      </c>
      <c r="R19">
        <v>28</v>
      </c>
    </row>
    <row r="20" spans="1:18" x14ac:dyDescent="0.3">
      <c r="A20" t="s">
        <v>486</v>
      </c>
      <c r="B20">
        <v>4.33</v>
      </c>
      <c r="C20">
        <v>3</v>
      </c>
      <c r="D20">
        <v>4.17</v>
      </c>
      <c r="E20">
        <v>0.17</v>
      </c>
      <c r="G20">
        <v>6.5</v>
      </c>
      <c r="H20">
        <v>5</v>
      </c>
      <c r="I20">
        <v>6.17</v>
      </c>
      <c r="J20">
        <v>0.33</v>
      </c>
      <c r="L20">
        <v>4</v>
      </c>
      <c r="M20">
        <v>0</v>
      </c>
      <c r="N20">
        <v>0</v>
      </c>
      <c r="O20">
        <v>4</v>
      </c>
      <c r="Q20">
        <v>2</v>
      </c>
      <c r="R20">
        <v>14</v>
      </c>
    </row>
    <row r="21" spans="1:18" x14ac:dyDescent="0.3">
      <c r="A21" t="s">
        <v>487</v>
      </c>
      <c r="B21">
        <v>5.33</v>
      </c>
      <c r="C21">
        <v>3.17</v>
      </c>
      <c r="D21">
        <v>3.33</v>
      </c>
      <c r="E21">
        <v>2</v>
      </c>
      <c r="G21">
        <v>5.33</v>
      </c>
      <c r="H21">
        <v>3.5</v>
      </c>
      <c r="I21">
        <v>3</v>
      </c>
      <c r="J21">
        <v>2.33</v>
      </c>
      <c r="L21">
        <v>5.9</v>
      </c>
      <c r="M21">
        <v>0</v>
      </c>
      <c r="N21">
        <v>0</v>
      </c>
      <c r="O21">
        <v>5.9</v>
      </c>
      <c r="Q21">
        <v>0</v>
      </c>
      <c r="R21">
        <v>38</v>
      </c>
    </row>
    <row r="22" spans="1:18" x14ac:dyDescent="0.3">
      <c r="A22" t="s">
        <v>488</v>
      </c>
      <c r="B22">
        <v>3.17</v>
      </c>
      <c r="C22">
        <v>2</v>
      </c>
      <c r="D22">
        <v>2</v>
      </c>
      <c r="E22">
        <v>1.17</v>
      </c>
      <c r="G22">
        <v>4.83</v>
      </c>
      <c r="H22">
        <v>4.67</v>
      </c>
      <c r="I22">
        <v>4.67</v>
      </c>
      <c r="J22">
        <v>0.17</v>
      </c>
      <c r="L22">
        <v>2.8</v>
      </c>
      <c r="M22">
        <v>0</v>
      </c>
      <c r="N22">
        <v>0</v>
      </c>
      <c r="O22">
        <v>2.8</v>
      </c>
      <c r="Q22">
        <v>0</v>
      </c>
      <c r="R22" t="s">
        <v>529</v>
      </c>
    </row>
    <row r="23" spans="1:18" x14ac:dyDescent="0.3">
      <c r="A23" t="s">
        <v>489</v>
      </c>
      <c r="B23">
        <v>8</v>
      </c>
      <c r="G23">
        <v>8</v>
      </c>
      <c r="L23">
        <v>7.4</v>
      </c>
      <c r="Q23">
        <v>1</v>
      </c>
      <c r="R23">
        <v>27</v>
      </c>
    </row>
    <row r="24" spans="1:18" x14ac:dyDescent="0.3">
      <c r="A24" t="s">
        <v>490</v>
      </c>
      <c r="B24">
        <v>5.67</v>
      </c>
      <c r="G24">
        <v>5.67</v>
      </c>
      <c r="L24">
        <v>9.5</v>
      </c>
      <c r="Q24">
        <v>1</v>
      </c>
      <c r="R24">
        <v>23</v>
      </c>
    </row>
    <row r="25" spans="1:18" x14ac:dyDescent="0.3">
      <c r="A25" t="s">
        <v>491</v>
      </c>
      <c r="B25">
        <v>4.33</v>
      </c>
      <c r="G25">
        <v>4.33</v>
      </c>
      <c r="L25">
        <v>3.9</v>
      </c>
      <c r="Q25">
        <v>0</v>
      </c>
      <c r="R25">
        <v>39</v>
      </c>
    </row>
    <row r="26" spans="1:18" x14ac:dyDescent="0.3">
      <c r="A26" t="s">
        <v>492</v>
      </c>
      <c r="B26">
        <v>5.17</v>
      </c>
      <c r="G26">
        <v>5.17</v>
      </c>
      <c r="L26">
        <v>3.1</v>
      </c>
      <c r="Q26">
        <v>0</v>
      </c>
      <c r="R26" t="s">
        <v>529</v>
      </c>
    </row>
    <row r="28" spans="1:18" x14ac:dyDescent="0.3">
      <c r="A28" t="s">
        <v>470</v>
      </c>
      <c r="B28">
        <v>5.67</v>
      </c>
      <c r="C28">
        <v>3</v>
      </c>
      <c r="D28">
        <v>2.5</v>
      </c>
      <c r="E28">
        <v>3.17</v>
      </c>
      <c r="G28">
        <v>6.83</v>
      </c>
      <c r="H28">
        <v>4.5</v>
      </c>
      <c r="I28">
        <v>4.67</v>
      </c>
      <c r="J28">
        <v>2.17</v>
      </c>
      <c r="L28">
        <v>4.5999999999999996</v>
      </c>
      <c r="M28">
        <v>2.2999999999999998</v>
      </c>
      <c r="N28">
        <v>2.2000000000000002</v>
      </c>
      <c r="O28">
        <v>2.4</v>
      </c>
      <c r="Q28">
        <v>3</v>
      </c>
      <c r="R28">
        <v>27</v>
      </c>
    </row>
    <row r="29" spans="1:18" x14ac:dyDescent="0.3">
      <c r="A29" t="s">
        <v>493</v>
      </c>
      <c r="B29">
        <v>4.5</v>
      </c>
      <c r="C29">
        <v>2.67</v>
      </c>
      <c r="D29">
        <v>2.5</v>
      </c>
      <c r="E29">
        <v>2</v>
      </c>
      <c r="G29">
        <v>4.83</v>
      </c>
      <c r="H29">
        <v>3.17</v>
      </c>
      <c r="I29">
        <v>3</v>
      </c>
      <c r="J29">
        <v>1.83</v>
      </c>
      <c r="L29">
        <v>7.33</v>
      </c>
      <c r="M29">
        <v>0</v>
      </c>
      <c r="N29">
        <v>1.8</v>
      </c>
      <c r="O29">
        <v>5.53</v>
      </c>
      <c r="Q29">
        <v>1</v>
      </c>
      <c r="R29">
        <v>31</v>
      </c>
    </row>
    <row r="30" spans="1:18" x14ac:dyDescent="0.3">
      <c r="A30" t="s">
        <v>494</v>
      </c>
      <c r="B30">
        <v>2.67</v>
      </c>
      <c r="D30">
        <v>2.67</v>
      </c>
      <c r="E30">
        <v>0</v>
      </c>
      <c r="G30">
        <v>4</v>
      </c>
      <c r="I30">
        <v>4</v>
      </c>
      <c r="J30">
        <v>0</v>
      </c>
      <c r="L30">
        <v>2.2999999999999998</v>
      </c>
      <c r="N30">
        <v>1.3</v>
      </c>
      <c r="O30">
        <v>1</v>
      </c>
      <c r="Q30">
        <v>1</v>
      </c>
      <c r="R30">
        <v>28</v>
      </c>
    </row>
    <row r="31" spans="1:18" x14ac:dyDescent="0.3">
      <c r="A31" t="s">
        <v>495</v>
      </c>
      <c r="B31">
        <v>3.5</v>
      </c>
      <c r="D31">
        <v>2.5</v>
      </c>
      <c r="E31">
        <v>1</v>
      </c>
      <c r="G31">
        <v>3.83</v>
      </c>
      <c r="I31">
        <v>3.17</v>
      </c>
      <c r="J31">
        <v>0.67</v>
      </c>
      <c r="L31">
        <v>2.2999999999999998</v>
      </c>
      <c r="N31">
        <v>0</v>
      </c>
      <c r="O31">
        <v>2.2999999999999998</v>
      </c>
      <c r="Q31">
        <v>1</v>
      </c>
      <c r="R31">
        <v>35</v>
      </c>
    </row>
    <row r="32" spans="1:18" x14ac:dyDescent="0.3">
      <c r="A32" t="s">
        <v>496</v>
      </c>
      <c r="B32">
        <v>4.5</v>
      </c>
      <c r="D32">
        <v>3.5</v>
      </c>
      <c r="E32">
        <v>1</v>
      </c>
      <c r="G32">
        <v>5.5</v>
      </c>
      <c r="I32">
        <v>5</v>
      </c>
      <c r="J32">
        <v>0.5</v>
      </c>
      <c r="L32">
        <v>4.5999999999999996</v>
      </c>
      <c r="N32">
        <v>0</v>
      </c>
      <c r="O32">
        <v>4.5999999999999996</v>
      </c>
      <c r="Q32">
        <v>1</v>
      </c>
      <c r="R32">
        <v>32</v>
      </c>
    </row>
    <row r="33" spans="1:18" x14ac:dyDescent="0.3">
      <c r="A33" t="s">
        <v>497</v>
      </c>
      <c r="B33">
        <v>4.5</v>
      </c>
      <c r="D33">
        <v>3.83</v>
      </c>
      <c r="E33">
        <v>0.67</v>
      </c>
      <c r="G33">
        <v>7.33</v>
      </c>
      <c r="I33">
        <v>6.17</v>
      </c>
      <c r="J33">
        <v>1.17</v>
      </c>
      <c r="L33">
        <v>3.9</v>
      </c>
      <c r="N33">
        <v>0</v>
      </c>
      <c r="O33">
        <v>3.9</v>
      </c>
      <c r="Q33">
        <v>1</v>
      </c>
      <c r="R33">
        <v>29</v>
      </c>
    </row>
    <row r="34" spans="1:18" x14ac:dyDescent="0.3">
      <c r="A34" t="s">
        <v>498</v>
      </c>
      <c r="B34">
        <v>7.17</v>
      </c>
      <c r="C34">
        <v>4.17</v>
      </c>
      <c r="G34">
        <v>7.17</v>
      </c>
      <c r="H34">
        <v>4.17</v>
      </c>
      <c r="L34">
        <v>7</v>
      </c>
      <c r="M34">
        <v>0</v>
      </c>
      <c r="Q34">
        <v>1</v>
      </c>
      <c r="R34">
        <v>24</v>
      </c>
    </row>
    <row r="35" spans="1:18" x14ac:dyDescent="0.3">
      <c r="A35" t="s">
        <v>499</v>
      </c>
      <c r="B35">
        <v>3.67</v>
      </c>
      <c r="C35">
        <v>3.5</v>
      </c>
      <c r="G35">
        <v>3.67</v>
      </c>
      <c r="H35">
        <v>3.5</v>
      </c>
      <c r="L35">
        <v>2.9</v>
      </c>
      <c r="M35">
        <v>0</v>
      </c>
      <c r="Q35">
        <v>1</v>
      </c>
      <c r="R35">
        <v>33</v>
      </c>
    </row>
    <row r="36" spans="1:18" x14ac:dyDescent="0.3">
      <c r="A36" t="s">
        <v>500</v>
      </c>
      <c r="B36">
        <v>3.17</v>
      </c>
      <c r="C36">
        <v>3.17</v>
      </c>
      <c r="D36">
        <v>3.17</v>
      </c>
      <c r="E36">
        <v>0</v>
      </c>
      <c r="G36">
        <v>3.83</v>
      </c>
      <c r="H36">
        <v>3.67</v>
      </c>
      <c r="I36">
        <v>3.67</v>
      </c>
      <c r="J36">
        <v>0.17</v>
      </c>
      <c r="L36">
        <v>3.4</v>
      </c>
      <c r="M36">
        <v>2.4</v>
      </c>
      <c r="N36">
        <v>2.4</v>
      </c>
      <c r="O36">
        <v>1</v>
      </c>
      <c r="Q36">
        <v>0</v>
      </c>
      <c r="R36">
        <v>42</v>
      </c>
    </row>
    <row r="37" spans="1:18" x14ac:dyDescent="0.3">
      <c r="A37" t="s">
        <v>501</v>
      </c>
      <c r="B37">
        <v>4.83</v>
      </c>
      <c r="G37">
        <v>4.83</v>
      </c>
      <c r="L37">
        <v>3</v>
      </c>
      <c r="Q37">
        <v>1</v>
      </c>
      <c r="R37">
        <v>38</v>
      </c>
    </row>
    <row r="38" spans="1:18" x14ac:dyDescent="0.3">
      <c r="A38" t="s">
        <v>502</v>
      </c>
      <c r="B38">
        <v>3.5</v>
      </c>
      <c r="G38">
        <v>3.5</v>
      </c>
      <c r="L38">
        <v>2.7</v>
      </c>
      <c r="Q38">
        <v>1</v>
      </c>
      <c r="R38">
        <v>34</v>
      </c>
    </row>
    <row r="39" spans="1:18" x14ac:dyDescent="0.3">
      <c r="A39" t="s">
        <v>503</v>
      </c>
      <c r="B39">
        <v>3.67</v>
      </c>
      <c r="G39">
        <v>3.67</v>
      </c>
      <c r="L39">
        <v>3.3</v>
      </c>
      <c r="Q39">
        <v>0</v>
      </c>
      <c r="R39">
        <v>36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18"/>
  <sheetViews>
    <sheetView tabSelected="1" workbookViewId="0">
      <selection activeCell="M18" sqref="M18"/>
    </sheetView>
  </sheetViews>
  <sheetFormatPr defaultRowHeight="16.5" x14ac:dyDescent="0.3"/>
  <sheetData>
    <row r="1" spans="1:13" x14ac:dyDescent="0.3">
      <c r="A1" t="s">
        <v>523</v>
      </c>
      <c r="G1" t="s">
        <v>510</v>
      </c>
      <c r="K1" t="s">
        <v>517</v>
      </c>
    </row>
    <row r="2" spans="1:13" x14ac:dyDescent="0.3">
      <c r="A2" t="s">
        <v>456</v>
      </c>
      <c r="G2" t="s">
        <v>511</v>
      </c>
      <c r="K2" t="s">
        <v>459</v>
      </c>
    </row>
    <row r="3" spans="1:13" x14ac:dyDescent="0.3">
      <c r="B3" t="s">
        <v>504</v>
      </c>
      <c r="C3">
        <v>4.5</v>
      </c>
      <c r="D3" t="s">
        <v>507</v>
      </c>
      <c r="E3">
        <v>0.11073115803141653</v>
      </c>
      <c r="H3" t="s">
        <v>512</v>
      </c>
      <c r="I3">
        <v>1.6051333547919655E-4</v>
      </c>
      <c r="L3" t="s">
        <v>504</v>
      </c>
      <c r="M3">
        <v>1.63</v>
      </c>
    </row>
    <row r="4" spans="1:13" x14ac:dyDescent="0.3">
      <c r="B4" t="s">
        <v>505</v>
      </c>
      <c r="C4">
        <v>5.24</v>
      </c>
      <c r="D4" t="s">
        <v>508</v>
      </c>
      <c r="E4">
        <v>0.57686872080618923</v>
      </c>
      <c r="H4" t="s">
        <v>513</v>
      </c>
      <c r="I4">
        <v>1.651503050071905E-2</v>
      </c>
      <c r="L4" t="s">
        <v>505</v>
      </c>
      <c r="M4">
        <v>2.0699999999999998</v>
      </c>
    </row>
    <row r="5" spans="1:13" x14ac:dyDescent="0.3">
      <c r="B5" t="s">
        <v>506</v>
      </c>
      <c r="C5">
        <v>4.28</v>
      </c>
      <c r="D5" t="s">
        <v>509</v>
      </c>
      <c r="E5">
        <v>8.7710154990831068E-2</v>
      </c>
      <c r="H5" t="s">
        <v>514</v>
      </c>
      <c r="I5">
        <v>3.9966129859481843E-2</v>
      </c>
      <c r="L5" t="s">
        <v>506</v>
      </c>
      <c r="M5">
        <v>1.1200000000000001</v>
      </c>
    </row>
    <row r="6" spans="1:13" x14ac:dyDescent="0.3">
      <c r="B6" t="s">
        <v>518</v>
      </c>
      <c r="C6">
        <v>0.10544153505893038</v>
      </c>
      <c r="L6" t="s">
        <v>518</v>
      </c>
      <c r="M6">
        <v>0.34763530792646785</v>
      </c>
    </row>
    <row r="8" spans="1:13" x14ac:dyDescent="0.3">
      <c r="A8" t="s">
        <v>460</v>
      </c>
      <c r="G8" t="s">
        <v>515</v>
      </c>
      <c r="K8" t="s">
        <v>463</v>
      </c>
    </row>
    <row r="9" spans="1:13" x14ac:dyDescent="0.3">
      <c r="B9" t="s">
        <v>504</v>
      </c>
      <c r="C9">
        <v>4.74</v>
      </c>
      <c r="D9" t="s">
        <v>507</v>
      </c>
      <c r="E9">
        <v>3.4909355907832347E-2</v>
      </c>
      <c r="H9" t="s">
        <v>512</v>
      </c>
      <c r="I9">
        <v>1.0223331838205207E-3</v>
      </c>
      <c r="L9" t="s">
        <v>504</v>
      </c>
      <c r="M9">
        <v>1.33</v>
      </c>
    </row>
    <row r="10" spans="1:13" x14ac:dyDescent="0.3">
      <c r="B10" t="s">
        <v>505</v>
      </c>
      <c r="C10">
        <v>5.89</v>
      </c>
      <c r="D10" t="s">
        <v>508</v>
      </c>
      <c r="E10">
        <v>0.69188754790708862</v>
      </c>
      <c r="H10" t="s">
        <v>513</v>
      </c>
      <c r="I10">
        <v>3.9986531031195559E-2</v>
      </c>
      <c r="L10" t="s">
        <v>505</v>
      </c>
      <c r="M10">
        <v>1.93</v>
      </c>
    </row>
    <row r="11" spans="1:13" x14ac:dyDescent="0.3">
      <c r="B11" t="s">
        <v>506</v>
      </c>
      <c r="C11">
        <v>4.92</v>
      </c>
      <c r="D11" t="s">
        <v>509</v>
      </c>
      <c r="E11">
        <v>0.13598816382737519</v>
      </c>
      <c r="H11" t="s">
        <v>514</v>
      </c>
      <c r="I11">
        <v>2.5234883354237386E-2</v>
      </c>
      <c r="L11" t="s">
        <v>506</v>
      </c>
      <c r="M11">
        <v>0.93</v>
      </c>
    </row>
    <row r="12" spans="1:13" x14ac:dyDescent="0.3">
      <c r="B12" t="s">
        <v>518</v>
      </c>
      <c r="C12">
        <v>7.7221860535879747E-2</v>
      </c>
      <c r="L12" t="s">
        <v>518</v>
      </c>
      <c r="M12">
        <v>0.35159649095465523</v>
      </c>
    </row>
    <row r="14" spans="1:13" x14ac:dyDescent="0.3">
      <c r="A14" t="s">
        <v>464</v>
      </c>
      <c r="G14" t="s">
        <v>516</v>
      </c>
      <c r="K14" t="s">
        <v>467</v>
      </c>
    </row>
    <row r="15" spans="1:13" x14ac:dyDescent="0.3">
      <c r="B15" t="s">
        <v>504</v>
      </c>
      <c r="C15">
        <v>3.79</v>
      </c>
      <c r="D15" t="s">
        <v>507</v>
      </c>
      <c r="E15">
        <v>2.7124912232358155E-2</v>
      </c>
      <c r="H15" t="s">
        <v>512</v>
      </c>
      <c r="I15">
        <v>3.9149210979136018E-5</v>
      </c>
      <c r="L15" t="s">
        <v>504</v>
      </c>
      <c r="M15">
        <v>3.31</v>
      </c>
    </row>
    <row r="16" spans="1:13" x14ac:dyDescent="0.3">
      <c r="B16" t="s">
        <v>505</v>
      </c>
      <c r="C16">
        <v>5.51</v>
      </c>
      <c r="D16" t="s">
        <v>508</v>
      </c>
      <c r="E16">
        <v>0.79879828200318315</v>
      </c>
      <c r="H16" t="s">
        <v>513</v>
      </c>
      <c r="I16">
        <v>2.6862704583713602E-4</v>
      </c>
      <c r="L16" t="s">
        <v>505</v>
      </c>
      <c r="M16">
        <v>5.44</v>
      </c>
    </row>
    <row r="17" spans="2:13" x14ac:dyDescent="0.3">
      <c r="B17" t="s">
        <v>506</v>
      </c>
      <c r="C17">
        <v>3.94</v>
      </c>
      <c r="D17" t="s">
        <v>509</v>
      </c>
      <c r="E17">
        <v>6.1599270062290802E-2</v>
      </c>
      <c r="H17" t="s">
        <v>514</v>
      </c>
      <c r="I17">
        <v>4.3345214846461306E-3</v>
      </c>
      <c r="L17" t="s">
        <v>506</v>
      </c>
      <c r="M17">
        <v>2.96</v>
      </c>
    </row>
    <row r="18" spans="2:13" x14ac:dyDescent="0.3">
      <c r="B18" t="s">
        <v>518</v>
      </c>
      <c r="C18">
        <v>3.6853696720644112E-2</v>
      </c>
      <c r="L18" t="s">
        <v>518</v>
      </c>
      <c r="M18">
        <v>1.6655360080737924E-2</v>
      </c>
    </row>
  </sheetData>
  <phoneticPr fontId="1" type="noConversion"/>
  <conditionalFormatting sqref="E2">
    <cfRule type="cellIs" dxfId="1003" priority="1" stopIfTrue="1" operator="greaterThanOrEqual">
      <formula>0.05</formula>
    </cfRule>
  </conditionalFormatting>
  <conditionalFormatting sqref="E3">
    <cfRule type="cellIs" dxfId="1002" priority="2" stopIfTrue="1" operator="greaterThanOrEqual">
      <formula>0.05</formula>
    </cfRule>
  </conditionalFormatting>
  <conditionalFormatting sqref="E4">
    <cfRule type="cellIs" dxfId="1001" priority="3" stopIfTrue="1" operator="greaterThanOrEqual">
      <formula>0.05</formula>
    </cfRule>
  </conditionalFormatting>
  <conditionalFormatting sqref="E5">
    <cfRule type="cellIs" dxfId="1000" priority="4" stopIfTrue="1" operator="greaterThanOrEqual">
      <formula>0.05</formula>
    </cfRule>
  </conditionalFormatting>
  <conditionalFormatting sqref="E6">
    <cfRule type="cellIs" dxfId="999" priority="5" stopIfTrue="1" operator="greaterThanOrEqual">
      <formula>0.05</formula>
    </cfRule>
  </conditionalFormatting>
  <conditionalFormatting sqref="E7">
    <cfRule type="cellIs" dxfId="998" priority="6" stopIfTrue="1" operator="greaterThanOrEqual">
      <formula>0.05</formula>
    </cfRule>
  </conditionalFormatting>
  <conditionalFormatting sqref="E8">
    <cfRule type="cellIs" dxfId="997" priority="7" stopIfTrue="1" operator="greaterThanOrEqual">
      <formula>0.05</formula>
    </cfRule>
  </conditionalFormatting>
  <conditionalFormatting sqref="E9">
    <cfRule type="cellIs" dxfId="996" priority="8" stopIfTrue="1" operator="greaterThanOrEqual">
      <formula>0.05</formula>
    </cfRule>
  </conditionalFormatting>
  <conditionalFormatting sqref="E10">
    <cfRule type="cellIs" dxfId="995" priority="9" stopIfTrue="1" operator="greaterThanOrEqual">
      <formula>0.05</formula>
    </cfRule>
  </conditionalFormatting>
  <conditionalFormatting sqref="E11">
    <cfRule type="cellIs" dxfId="994" priority="10" stopIfTrue="1" operator="greaterThanOrEqual">
      <formula>0.05</formula>
    </cfRule>
  </conditionalFormatting>
  <conditionalFormatting sqref="E12">
    <cfRule type="cellIs" dxfId="993" priority="11" stopIfTrue="1" operator="greaterThanOrEqual">
      <formula>0.05</formula>
    </cfRule>
  </conditionalFormatting>
  <conditionalFormatting sqref="E13">
    <cfRule type="cellIs" dxfId="992" priority="12" stopIfTrue="1" operator="greaterThanOrEqual">
      <formula>0.05</formula>
    </cfRule>
  </conditionalFormatting>
  <conditionalFormatting sqref="E14">
    <cfRule type="cellIs" dxfId="991" priority="13" stopIfTrue="1" operator="greaterThanOrEqual">
      <formula>0.05</formula>
    </cfRule>
  </conditionalFormatting>
  <conditionalFormatting sqref="E15">
    <cfRule type="cellIs" dxfId="990" priority="14" stopIfTrue="1" operator="greaterThanOrEqual">
      <formula>0.05</formula>
    </cfRule>
  </conditionalFormatting>
  <conditionalFormatting sqref="E16">
    <cfRule type="cellIs" dxfId="989" priority="15" stopIfTrue="1" operator="greaterThanOrEqual">
      <formula>0.05</formula>
    </cfRule>
  </conditionalFormatting>
  <conditionalFormatting sqref="E17">
    <cfRule type="cellIs" dxfId="988" priority="16" stopIfTrue="1" operator="greaterThanOrEqual">
      <formula>0.05</formula>
    </cfRule>
  </conditionalFormatting>
  <conditionalFormatting sqref="E18">
    <cfRule type="cellIs" dxfId="987" priority="17" stopIfTrue="1" operator="greaterThanOrEqual">
      <formula>0.05</formula>
    </cfRule>
  </conditionalFormatting>
  <conditionalFormatting sqref="E19">
    <cfRule type="cellIs" dxfId="986" priority="18" stopIfTrue="1" operator="greaterThanOrEqual">
      <formula>0.05</formula>
    </cfRule>
  </conditionalFormatting>
  <conditionalFormatting sqref="E20">
    <cfRule type="cellIs" dxfId="985" priority="19" stopIfTrue="1" operator="greaterThanOrEqual">
      <formula>0.05</formula>
    </cfRule>
  </conditionalFormatting>
  <conditionalFormatting sqref="E21">
    <cfRule type="cellIs" dxfId="984" priority="20" stopIfTrue="1" operator="greaterThanOrEqual">
      <formula>0.05</formula>
    </cfRule>
  </conditionalFormatting>
  <conditionalFormatting sqref="E22">
    <cfRule type="cellIs" dxfId="983" priority="21" stopIfTrue="1" operator="greaterThanOrEqual">
      <formula>0.05</formula>
    </cfRule>
  </conditionalFormatting>
  <conditionalFormatting sqref="E23">
    <cfRule type="cellIs" dxfId="982" priority="22" stopIfTrue="1" operator="greaterThanOrEqual">
      <formula>0.05</formula>
    </cfRule>
  </conditionalFormatting>
  <conditionalFormatting sqref="E24">
    <cfRule type="cellIs" dxfId="981" priority="23" stopIfTrue="1" operator="greaterThanOrEqual">
      <formula>0.05</formula>
    </cfRule>
  </conditionalFormatting>
  <conditionalFormatting sqref="E25">
    <cfRule type="cellIs" dxfId="980" priority="24" stopIfTrue="1" operator="greaterThanOrEqual">
      <formula>0.05</formula>
    </cfRule>
  </conditionalFormatting>
  <conditionalFormatting sqref="E26">
    <cfRule type="cellIs" dxfId="979" priority="25" stopIfTrue="1" operator="greaterThanOrEqual">
      <formula>0.05</formula>
    </cfRule>
  </conditionalFormatting>
  <conditionalFormatting sqref="E27">
    <cfRule type="cellIs" dxfId="978" priority="26" stopIfTrue="1" operator="greaterThanOrEqual">
      <formula>0.05</formula>
    </cfRule>
  </conditionalFormatting>
  <conditionalFormatting sqref="E28">
    <cfRule type="cellIs" dxfId="977" priority="27" stopIfTrue="1" operator="greaterThanOrEqual">
      <formula>0.05</formula>
    </cfRule>
  </conditionalFormatting>
  <conditionalFormatting sqref="E29">
    <cfRule type="cellIs" dxfId="976" priority="28" stopIfTrue="1" operator="greaterThanOrEqual">
      <formula>0.05</formula>
    </cfRule>
  </conditionalFormatting>
  <conditionalFormatting sqref="E30">
    <cfRule type="cellIs" dxfId="975" priority="29" stopIfTrue="1" operator="greaterThanOrEqual">
      <formula>0.05</formula>
    </cfRule>
  </conditionalFormatting>
  <conditionalFormatting sqref="E31">
    <cfRule type="cellIs" dxfId="974" priority="30" stopIfTrue="1" operator="greaterThanOrEqual">
      <formula>0.05</formula>
    </cfRule>
  </conditionalFormatting>
  <conditionalFormatting sqref="E32">
    <cfRule type="cellIs" dxfId="973" priority="31" stopIfTrue="1" operator="greaterThanOrEqual">
      <formula>0.05</formula>
    </cfRule>
  </conditionalFormatting>
  <conditionalFormatting sqref="E33">
    <cfRule type="cellIs" dxfId="972" priority="32" stopIfTrue="1" operator="greaterThanOrEqual">
      <formula>0.05</formula>
    </cfRule>
  </conditionalFormatting>
  <conditionalFormatting sqref="E34">
    <cfRule type="cellIs" dxfId="971" priority="33" stopIfTrue="1" operator="greaterThanOrEqual">
      <formula>0.05</formula>
    </cfRule>
  </conditionalFormatting>
  <conditionalFormatting sqref="E35">
    <cfRule type="cellIs" dxfId="970" priority="34" stopIfTrue="1" operator="greaterThanOrEqual">
      <formula>0.05</formula>
    </cfRule>
  </conditionalFormatting>
  <conditionalFormatting sqref="E36">
    <cfRule type="cellIs" dxfId="969" priority="35" stopIfTrue="1" operator="greaterThanOrEqual">
      <formula>0.05</formula>
    </cfRule>
  </conditionalFormatting>
  <conditionalFormatting sqref="E37">
    <cfRule type="cellIs" dxfId="968" priority="36" stopIfTrue="1" operator="greaterThanOrEqual">
      <formula>0.05</formula>
    </cfRule>
  </conditionalFormatting>
  <conditionalFormatting sqref="E38">
    <cfRule type="cellIs" dxfId="967" priority="37" stopIfTrue="1" operator="greaterThanOrEqual">
      <formula>0.05</formula>
    </cfRule>
  </conditionalFormatting>
  <conditionalFormatting sqref="E39">
    <cfRule type="cellIs" dxfId="966" priority="38" stopIfTrue="1" operator="greaterThanOrEqual">
      <formula>0.05</formula>
    </cfRule>
  </conditionalFormatting>
  <conditionalFormatting sqref="E40">
    <cfRule type="cellIs" dxfId="965" priority="39" stopIfTrue="1" operator="greaterThanOrEqual">
      <formula>0.05</formula>
    </cfRule>
  </conditionalFormatting>
  <conditionalFormatting sqref="E41">
    <cfRule type="cellIs" dxfId="964" priority="40" stopIfTrue="1" operator="greaterThanOrEqual">
      <formula>0.05</formula>
    </cfRule>
  </conditionalFormatting>
  <conditionalFormatting sqref="E42">
    <cfRule type="cellIs" dxfId="963" priority="41" stopIfTrue="1" operator="greaterThanOrEqual">
      <formula>0.05</formula>
    </cfRule>
  </conditionalFormatting>
  <conditionalFormatting sqref="E43">
    <cfRule type="cellIs" dxfId="962" priority="42" stopIfTrue="1" operator="greaterThanOrEqual">
      <formula>0.05</formula>
    </cfRule>
  </conditionalFormatting>
  <conditionalFormatting sqref="E44">
    <cfRule type="cellIs" dxfId="961" priority="43" stopIfTrue="1" operator="greaterThanOrEqual">
      <formula>0.05</formula>
    </cfRule>
  </conditionalFormatting>
  <conditionalFormatting sqref="E45">
    <cfRule type="cellIs" dxfId="960" priority="44" stopIfTrue="1" operator="greaterThanOrEqual">
      <formula>0.05</formula>
    </cfRule>
  </conditionalFormatting>
  <conditionalFormatting sqref="E46">
    <cfRule type="cellIs" dxfId="959" priority="45" stopIfTrue="1" operator="greaterThanOrEqual">
      <formula>0.05</formula>
    </cfRule>
  </conditionalFormatting>
  <conditionalFormatting sqref="E47">
    <cfRule type="cellIs" dxfId="958" priority="46" stopIfTrue="1" operator="greaterThanOrEqual">
      <formula>0.05</formula>
    </cfRule>
  </conditionalFormatting>
  <conditionalFormatting sqref="E48">
    <cfRule type="cellIs" dxfId="957" priority="47" stopIfTrue="1" operator="greaterThanOrEqual">
      <formula>0.05</formula>
    </cfRule>
  </conditionalFormatting>
  <conditionalFormatting sqref="E49">
    <cfRule type="cellIs" dxfId="956" priority="48" stopIfTrue="1" operator="greaterThanOrEqual">
      <formula>0.05</formula>
    </cfRule>
  </conditionalFormatting>
  <conditionalFormatting sqref="E50">
    <cfRule type="cellIs" dxfId="955" priority="49" stopIfTrue="1" operator="greaterThanOrEqual">
      <formula>0.05</formula>
    </cfRule>
  </conditionalFormatting>
  <conditionalFormatting sqref="E51">
    <cfRule type="cellIs" dxfId="954" priority="50" stopIfTrue="1" operator="greaterThanOrEqual">
      <formula>0.05</formula>
    </cfRule>
  </conditionalFormatting>
  <conditionalFormatting sqref="E52">
    <cfRule type="cellIs" dxfId="953" priority="51" stopIfTrue="1" operator="greaterThanOrEqual">
      <formula>0.05</formula>
    </cfRule>
  </conditionalFormatting>
  <conditionalFormatting sqref="E53">
    <cfRule type="cellIs" dxfId="952" priority="52" stopIfTrue="1" operator="greaterThanOrEqual">
      <formula>0.05</formula>
    </cfRule>
  </conditionalFormatting>
  <conditionalFormatting sqref="E54">
    <cfRule type="cellIs" dxfId="951" priority="53" stopIfTrue="1" operator="greaterThanOrEqual">
      <formula>0.05</formula>
    </cfRule>
  </conditionalFormatting>
  <conditionalFormatting sqref="E55">
    <cfRule type="cellIs" dxfId="950" priority="54" stopIfTrue="1" operator="greaterThanOrEqual">
      <formula>0.05</formula>
    </cfRule>
  </conditionalFormatting>
  <conditionalFormatting sqref="E56">
    <cfRule type="cellIs" dxfId="949" priority="55" stopIfTrue="1" operator="greaterThanOrEqual">
      <formula>0.05</formula>
    </cfRule>
  </conditionalFormatting>
  <conditionalFormatting sqref="E57">
    <cfRule type="cellIs" dxfId="948" priority="56" stopIfTrue="1" operator="greaterThanOrEqual">
      <formula>0.05</formula>
    </cfRule>
  </conditionalFormatting>
  <conditionalFormatting sqref="E58">
    <cfRule type="cellIs" dxfId="947" priority="57" stopIfTrue="1" operator="greaterThanOrEqual">
      <formula>0.05</formula>
    </cfRule>
  </conditionalFormatting>
  <conditionalFormatting sqref="E59">
    <cfRule type="cellIs" dxfId="946" priority="58" stopIfTrue="1" operator="greaterThanOrEqual">
      <formula>0.05</formula>
    </cfRule>
  </conditionalFormatting>
  <conditionalFormatting sqref="E60">
    <cfRule type="cellIs" dxfId="945" priority="59" stopIfTrue="1" operator="greaterThanOrEqual">
      <formula>0.05</formula>
    </cfRule>
  </conditionalFormatting>
  <conditionalFormatting sqref="E61">
    <cfRule type="cellIs" dxfId="944" priority="60" stopIfTrue="1" operator="greaterThanOrEqual">
      <formula>0.05</formula>
    </cfRule>
  </conditionalFormatting>
  <conditionalFormatting sqref="E62">
    <cfRule type="cellIs" dxfId="943" priority="61" stopIfTrue="1" operator="greaterThanOrEqual">
      <formula>0.05</formula>
    </cfRule>
  </conditionalFormatting>
  <conditionalFormatting sqref="E63">
    <cfRule type="cellIs" dxfId="942" priority="62" stopIfTrue="1" operator="greaterThanOrEqual">
      <formula>0.05</formula>
    </cfRule>
  </conditionalFormatting>
  <conditionalFormatting sqref="E64">
    <cfRule type="cellIs" dxfId="941" priority="63" stopIfTrue="1" operator="greaterThanOrEqual">
      <formula>0.05</formula>
    </cfRule>
  </conditionalFormatting>
  <conditionalFormatting sqref="E65">
    <cfRule type="cellIs" dxfId="940" priority="64" stopIfTrue="1" operator="greaterThanOrEqual">
      <formula>0.05</formula>
    </cfRule>
  </conditionalFormatting>
  <conditionalFormatting sqref="E66">
    <cfRule type="cellIs" dxfId="939" priority="65" stopIfTrue="1" operator="greaterThanOrEqual">
      <formula>0.05</formula>
    </cfRule>
  </conditionalFormatting>
  <conditionalFormatting sqref="E67">
    <cfRule type="cellIs" dxfId="938" priority="66" stopIfTrue="1" operator="greaterThanOrEqual">
      <formula>0.05</formula>
    </cfRule>
  </conditionalFormatting>
  <conditionalFormatting sqref="E68">
    <cfRule type="cellIs" dxfId="937" priority="67" stopIfTrue="1" operator="greaterThanOrEqual">
      <formula>0.05</formula>
    </cfRule>
  </conditionalFormatting>
  <conditionalFormatting sqref="E69">
    <cfRule type="cellIs" dxfId="936" priority="68" stopIfTrue="1" operator="greaterThanOrEqual">
      <formula>0.05</formula>
    </cfRule>
  </conditionalFormatting>
  <conditionalFormatting sqref="E70">
    <cfRule type="cellIs" dxfId="935" priority="69" stopIfTrue="1" operator="greaterThanOrEqual">
      <formula>0.05</formula>
    </cfRule>
  </conditionalFormatting>
  <conditionalFormatting sqref="E71">
    <cfRule type="cellIs" dxfId="934" priority="70" stopIfTrue="1" operator="greaterThanOrEqual">
      <formula>0.05</formula>
    </cfRule>
  </conditionalFormatting>
  <conditionalFormatting sqref="E72">
    <cfRule type="cellIs" dxfId="933" priority="71" stopIfTrue="1" operator="greaterThanOrEqual">
      <formula>0.05</formula>
    </cfRule>
  </conditionalFormatting>
  <conditionalFormatting sqref="E73">
    <cfRule type="cellIs" dxfId="932" priority="72" stopIfTrue="1" operator="greaterThanOrEqual">
      <formula>0.05</formula>
    </cfRule>
  </conditionalFormatting>
  <conditionalFormatting sqref="E74">
    <cfRule type="cellIs" dxfId="931" priority="73" stopIfTrue="1" operator="greaterThanOrEqual">
      <formula>0.05</formula>
    </cfRule>
  </conditionalFormatting>
  <conditionalFormatting sqref="E75">
    <cfRule type="cellIs" dxfId="930" priority="74" stopIfTrue="1" operator="greaterThanOrEqual">
      <formula>0.05</formula>
    </cfRule>
  </conditionalFormatting>
  <conditionalFormatting sqref="E76">
    <cfRule type="cellIs" dxfId="929" priority="75" stopIfTrue="1" operator="greaterThanOrEqual">
      <formula>0.05</formula>
    </cfRule>
  </conditionalFormatting>
  <conditionalFormatting sqref="E77">
    <cfRule type="cellIs" dxfId="928" priority="76" stopIfTrue="1" operator="greaterThanOrEqual">
      <formula>0.05</formula>
    </cfRule>
  </conditionalFormatting>
  <conditionalFormatting sqref="E78">
    <cfRule type="cellIs" dxfId="927" priority="77" stopIfTrue="1" operator="greaterThanOrEqual">
      <formula>0.05</formula>
    </cfRule>
  </conditionalFormatting>
  <conditionalFormatting sqref="E79">
    <cfRule type="cellIs" dxfId="926" priority="78" stopIfTrue="1" operator="greaterThanOrEqual">
      <formula>0.05</formula>
    </cfRule>
  </conditionalFormatting>
  <conditionalFormatting sqref="E80">
    <cfRule type="cellIs" dxfId="925" priority="79" stopIfTrue="1" operator="greaterThanOrEqual">
      <formula>0.05</formula>
    </cfRule>
  </conditionalFormatting>
  <conditionalFormatting sqref="E81">
    <cfRule type="cellIs" dxfId="924" priority="80" stopIfTrue="1" operator="greaterThanOrEqual">
      <formula>0.05</formula>
    </cfRule>
  </conditionalFormatting>
  <conditionalFormatting sqref="E82">
    <cfRule type="cellIs" dxfId="923" priority="81" stopIfTrue="1" operator="greaterThanOrEqual">
      <formula>0.05</formula>
    </cfRule>
  </conditionalFormatting>
  <conditionalFormatting sqref="E83">
    <cfRule type="cellIs" dxfId="922" priority="82" stopIfTrue="1" operator="greaterThanOrEqual">
      <formula>0.05</formula>
    </cfRule>
  </conditionalFormatting>
  <conditionalFormatting sqref="E84">
    <cfRule type="cellIs" dxfId="921" priority="83" stopIfTrue="1" operator="greaterThanOrEqual">
      <formula>0.05</formula>
    </cfRule>
  </conditionalFormatting>
  <conditionalFormatting sqref="E85">
    <cfRule type="cellIs" dxfId="920" priority="84" stopIfTrue="1" operator="greaterThanOrEqual">
      <formula>0.05</formula>
    </cfRule>
  </conditionalFormatting>
  <conditionalFormatting sqref="E86">
    <cfRule type="cellIs" dxfId="919" priority="85" stopIfTrue="1" operator="greaterThanOrEqual">
      <formula>0.05</formula>
    </cfRule>
  </conditionalFormatting>
  <conditionalFormatting sqref="E87">
    <cfRule type="cellIs" dxfId="918" priority="86" stopIfTrue="1" operator="greaterThanOrEqual">
      <formula>0.05</formula>
    </cfRule>
  </conditionalFormatting>
  <conditionalFormatting sqref="E88">
    <cfRule type="cellIs" dxfId="917" priority="87" stopIfTrue="1" operator="greaterThanOrEqual">
      <formula>0.05</formula>
    </cfRule>
  </conditionalFormatting>
  <conditionalFormatting sqref="E89">
    <cfRule type="cellIs" dxfId="916" priority="88" stopIfTrue="1" operator="greaterThanOrEqual">
      <formula>0.05</formula>
    </cfRule>
  </conditionalFormatting>
  <conditionalFormatting sqref="E90">
    <cfRule type="cellIs" dxfId="915" priority="89" stopIfTrue="1" operator="greaterThanOrEqual">
      <formula>0.05</formula>
    </cfRule>
  </conditionalFormatting>
  <conditionalFormatting sqref="E91">
    <cfRule type="cellIs" dxfId="914" priority="90" stopIfTrue="1" operator="greaterThanOrEqual">
      <formula>0.05</formula>
    </cfRule>
  </conditionalFormatting>
  <conditionalFormatting sqref="E92">
    <cfRule type="cellIs" dxfId="913" priority="91" stopIfTrue="1" operator="greaterThanOrEqual">
      <formula>0.05</formula>
    </cfRule>
  </conditionalFormatting>
  <conditionalFormatting sqref="E93">
    <cfRule type="cellIs" dxfId="912" priority="92" stopIfTrue="1" operator="greaterThanOrEqual">
      <formula>0.05</formula>
    </cfRule>
  </conditionalFormatting>
  <conditionalFormatting sqref="E94">
    <cfRule type="cellIs" dxfId="911" priority="93" stopIfTrue="1" operator="greaterThanOrEqual">
      <formula>0.05</formula>
    </cfRule>
  </conditionalFormatting>
  <conditionalFormatting sqref="E95">
    <cfRule type="cellIs" dxfId="910" priority="94" stopIfTrue="1" operator="greaterThanOrEqual">
      <formula>0.05</formula>
    </cfRule>
  </conditionalFormatting>
  <conditionalFormatting sqref="E96">
    <cfRule type="cellIs" dxfId="909" priority="95" stopIfTrue="1" operator="greaterThanOrEqual">
      <formula>0.05</formula>
    </cfRule>
  </conditionalFormatting>
  <conditionalFormatting sqref="E97">
    <cfRule type="cellIs" dxfId="908" priority="96" stopIfTrue="1" operator="greaterThanOrEqual">
      <formula>0.05</formula>
    </cfRule>
  </conditionalFormatting>
  <conditionalFormatting sqref="E98">
    <cfRule type="cellIs" dxfId="907" priority="97" stopIfTrue="1" operator="greaterThanOrEqual">
      <formula>0.05</formula>
    </cfRule>
  </conditionalFormatting>
  <conditionalFormatting sqref="E99">
    <cfRule type="cellIs" dxfId="906" priority="98" stopIfTrue="1" operator="greaterThanOrEqual">
      <formula>0.05</formula>
    </cfRule>
  </conditionalFormatting>
  <conditionalFormatting sqref="E100">
    <cfRule type="cellIs" dxfId="905" priority="99" stopIfTrue="1" operator="greaterThanOrEqual">
      <formula>0.05</formula>
    </cfRule>
  </conditionalFormatting>
  <conditionalFormatting sqref="E101">
    <cfRule type="cellIs" dxfId="904" priority="100" stopIfTrue="1" operator="greaterThanOrEqual">
      <formula>0.05</formula>
    </cfRule>
  </conditionalFormatting>
  <conditionalFormatting sqref="E102">
    <cfRule type="cellIs" dxfId="903" priority="101" stopIfTrue="1" operator="greaterThanOrEqual">
      <formula>0.05</formula>
    </cfRule>
  </conditionalFormatting>
  <conditionalFormatting sqref="E103">
    <cfRule type="cellIs" dxfId="902" priority="102" stopIfTrue="1" operator="greaterThanOrEqual">
      <formula>0.05</formula>
    </cfRule>
  </conditionalFormatting>
  <conditionalFormatting sqref="E104">
    <cfRule type="cellIs" dxfId="901" priority="103" stopIfTrue="1" operator="greaterThanOrEqual">
      <formula>0.05</formula>
    </cfRule>
  </conditionalFormatting>
  <conditionalFormatting sqref="E105">
    <cfRule type="cellIs" dxfId="900" priority="104" stopIfTrue="1" operator="greaterThanOrEqual">
      <formula>0.05</formula>
    </cfRule>
  </conditionalFormatting>
  <conditionalFormatting sqref="E106">
    <cfRule type="cellIs" dxfId="899" priority="105" stopIfTrue="1" operator="greaterThanOrEqual">
      <formula>0.05</formula>
    </cfRule>
  </conditionalFormatting>
  <conditionalFormatting sqref="E107">
    <cfRule type="cellIs" dxfId="898" priority="106" stopIfTrue="1" operator="greaterThanOrEqual">
      <formula>0.05</formula>
    </cfRule>
  </conditionalFormatting>
  <conditionalFormatting sqref="E108">
    <cfRule type="cellIs" dxfId="897" priority="107" stopIfTrue="1" operator="greaterThanOrEqual">
      <formula>0.05</formula>
    </cfRule>
  </conditionalFormatting>
  <conditionalFormatting sqref="E109">
    <cfRule type="cellIs" dxfId="896" priority="108" stopIfTrue="1" operator="greaterThanOrEqual">
      <formula>0.05</formula>
    </cfRule>
  </conditionalFormatting>
  <conditionalFormatting sqref="E110">
    <cfRule type="cellIs" dxfId="895" priority="109" stopIfTrue="1" operator="greaterThanOrEqual">
      <formula>0.05</formula>
    </cfRule>
  </conditionalFormatting>
  <conditionalFormatting sqref="E111">
    <cfRule type="cellIs" dxfId="894" priority="110" stopIfTrue="1" operator="greaterThanOrEqual">
      <formula>0.05</formula>
    </cfRule>
  </conditionalFormatting>
  <conditionalFormatting sqref="E112">
    <cfRule type="cellIs" dxfId="893" priority="111" stopIfTrue="1" operator="greaterThanOrEqual">
      <formula>0.05</formula>
    </cfRule>
  </conditionalFormatting>
  <conditionalFormatting sqref="E113">
    <cfRule type="cellIs" dxfId="892" priority="112" stopIfTrue="1" operator="greaterThanOrEqual">
      <formula>0.05</formula>
    </cfRule>
  </conditionalFormatting>
  <conditionalFormatting sqref="E114">
    <cfRule type="cellIs" dxfId="891" priority="113" stopIfTrue="1" operator="greaterThanOrEqual">
      <formula>0.05</formula>
    </cfRule>
  </conditionalFormatting>
  <conditionalFormatting sqref="E115">
    <cfRule type="cellIs" dxfId="890" priority="114" stopIfTrue="1" operator="greaterThanOrEqual">
      <formula>0.05</formula>
    </cfRule>
  </conditionalFormatting>
  <conditionalFormatting sqref="E116">
    <cfRule type="cellIs" dxfId="889" priority="115" stopIfTrue="1" operator="greaterThanOrEqual">
      <formula>0.05</formula>
    </cfRule>
  </conditionalFormatting>
  <conditionalFormatting sqref="E117">
    <cfRule type="cellIs" dxfId="888" priority="116" stopIfTrue="1" operator="greaterThanOrEqual">
      <formula>0.05</formula>
    </cfRule>
  </conditionalFormatting>
  <conditionalFormatting sqref="E118">
    <cfRule type="cellIs" dxfId="887" priority="117" stopIfTrue="1" operator="greaterThanOrEqual">
      <formula>0.05</formula>
    </cfRule>
  </conditionalFormatting>
  <conditionalFormatting sqref="E119">
    <cfRule type="cellIs" dxfId="886" priority="118" stopIfTrue="1" operator="greaterThanOrEqual">
      <formula>0.05</formula>
    </cfRule>
  </conditionalFormatting>
  <conditionalFormatting sqref="E120">
    <cfRule type="cellIs" dxfId="885" priority="119" stopIfTrue="1" operator="greaterThanOrEqual">
      <formula>0.05</formula>
    </cfRule>
  </conditionalFormatting>
  <conditionalFormatting sqref="E121">
    <cfRule type="cellIs" dxfId="884" priority="120" stopIfTrue="1" operator="greaterThanOrEqual">
      <formula>0.05</formula>
    </cfRule>
  </conditionalFormatting>
  <conditionalFormatting sqref="E122">
    <cfRule type="cellIs" dxfId="883" priority="121" stopIfTrue="1" operator="greaterThanOrEqual">
      <formula>0.05</formula>
    </cfRule>
  </conditionalFormatting>
  <conditionalFormatting sqref="E123">
    <cfRule type="cellIs" dxfId="882" priority="122" stopIfTrue="1" operator="greaterThanOrEqual">
      <formula>0.05</formula>
    </cfRule>
  </conditionalFormatting>
  <conditionalFormatting sqref="E124">
    <cfRule type="cellIs" dxfId="881" priority="123" stopIfTrue="1" operator="greaterThanOrEqual">
      <formula>0.05</formula>
    </cfRule>
  </conditionalFormatting>
  <conditionalFormatting sqref="E125">
    <cfRule type="cellIs" dxfId="880" priority="124" stopIfTrue="1" operator="greaterThanOrEqual">
      <formula>0.05</formula>
    </cfRule>
  </conditionalFormatting>
  <conditionalFormatting sqref="E126">
    <cfRule type="cellIs" dxfId="879" priority="125" stopIfTrue="1" operator="greaterThanOrEqual">
      <formula>0.05</formula>
    </cfRule>
  </conditionalFormatting>
  <conditionalFormatting sqref="E127">
    <cfRule type="cellIs" dxfId="878" priority="126" stopIfTrue="1" operator="greaterThanOrEqual">
      <formula>0.05</formula>
    </cfRule>
  </conditionalFormatting>
  <conditionalFormatting sqref="E128">
    <cfRule type="cellIs" dxfId="877" priority="127" stopIfTrue="1" operator="greaterThanOrEqual">
      <formula>0.05</formula>
    </cfRule>
  </conditionalFormatting>
  <conditionalFormatting sqref="E129">
    <cfRule type="cellIs" dxfId="876" priority="128" stopIfTrue="1" operator="greaterThanOrEqual">
      <formula>0.05</formula>
    </cfRule>
  </conditionalFormatting>
  <conditionalFormatting sqref="E130">
    <cfRule type="cellIs" dxfId="875" priority="129" stopIfTrue="1" operator="greaterThanOrEqual">
      <formula>0.05</formula>
    </cfRule>
  </conditionalFormatting>
  <conditionalFormatting sqref="E131">
    <cfRule type="cellIs" dxfId="874" priority="130" stopIfTrue="1" operator="greaterThanOrEqual">
      <formula>0.05</formula>
    </cfRule>
  </conditionalFormatting>
  <conditionalFormatting sqref="E132">
    <cfRule type="cellIs" dxfId="873" priority="131" stopIfTrue="1" operator="greaterThanOrEqual">
      <formula>0.05</formula>
    </cfRule>
  </conditionalFormatting>
  <conditionalFormatting sqref="E133">
    <cfRule type="cellIs" dxfId="872" priority="132" stopIfTrue="1" operator="greaterThanOrEqual">
      <formula>0.05</formula>
    </cfRule>
  </conditionalFormatting>
  <conditionalFormatting sqref="E134">
    <cfRule type="cellIs" dxfId="871" priority="133" stopIfTrue="1" operator="greaterThanOrEqual">
      <formula>0.05</formula>
    </cfRule>
  </conditionalFormatting>
  <conditionalFormatting sqref="E135">
    <cfRule type="cellIs" dxfId="870" priority="134" stopIfTrue="1" operator="greaterThanOrEqual">
      <formula>0.05</formula>
    </cfRule>
  </conditionalFormatting>
  <conditionalFormatting sqref="E136">
    <cfRule type="cellIs" dxfId="869" priority="135" stopIfTrue="1" operator="greaterThanOrEqual">
      <formula>0.05</formula>
    </cfRule>
  </conditionalFormatting>
  <conditionalFormatting sqref="E137">
    <cfRule type="cellIs" dxfId="868" priority="136" stopIfTrue="1" operator="greaterThanOrEqual">
      <formula>0.05</formula>
    </cfRule>
  </conditionalFormatting>
  <conditionalFormatting sqref="E138">
    <cfRule type="cellIs" dxfId="867" priority="137" stopIfTrue="1" operator="greaterThanOrEqual">
      <formula>0.05</formula>
    </cfRule>
  </conditionalFormatting>
  <conditionalFormatting sqref="E139">
    <cfRule type="cellIs" dxfId="866" priority="138" stopIfTrue="1" operator="greaterThanOrEqual">
      <formula>0.05</formula>
    </cfRule>
  </conditionalFormatting>
  <conditionalFormatting sqref="E140">
    <cfRule type="cellIs" dxfId="865" priority="139" stopIfTrue="1" operator="greaterThanOrEqual">
      <formula>0.05</formula>
    </cfRule>
  </conditionalFormatting>
  <conditionalFormatting sqref="E141">
    <cfRule type="cellIs" dxfId="864" priority="140" stopIfTrue="1" operator="greaterThanOrEqual">
      <formula>0.05</formula>
    </cfRule>
  </conditionalFormatting>
  <conditionalFormatting sqref="E142">
    <cfRule type="cellIs" dxfId="863" priority="141" stopIfTrue="1" operator="greaterThanOrEqual">
      <formula>0.05</formula>
    </cfRule>
  </conditionalFormatting>
  <conditionalFormatting sqref="E143">
    <cfRule type="cellIs" dxfId="862" priority="142" stopIfTrue="1" operator="greaterThanOrEqual">
      <formula>0.05</formula>
    </cfRule>
  </conditionalFormatting>
  <conditionalFormatting sqref="E144">
    <cfRule type="cellIs" dxfId="861" priority="143" stopIfTrue="1" operator="greaterThanOrEqual">
      <formula>0.05</formula>
    </cfRule>
  </conditionalFormatting>
  <conditionalFormatting sqref="E145">
    <cfRule type="cellIs" dxfId="860" priority="144" stopIfTrue="1" operator="greaterThanOrEqual">
      <formula>0.05</formula>
    </cfRule>
  </conditionalFormatting>
  <conditionalFormatting sqref="E146">
    <cfRule type="cellIs" dxfId="859" priority="145" stopIfTrue="1" operator="greaterThanOrEqual">
      <formula>0.05</formula>
    </cfRule>
  </conditionalFormatting>
  <conditionalFormatting sqref="E147">
    <cfRule type="cellIs" dxfId="858" priority="146" stopIfTrue="1" operator="greaterThanOrEqual">
      <formula>0.05</formula>
    </cfRule>
  </conditionalFormatting>
  <conditionalFormatting sqref="E148">
    <cfRule type="cellIs" dxfId="857" priority="147" stopIfTrue="1" operator="greaterThanOrEqual">
      <formula>0.05</formula>
    </cfRule>
  </conditionalFormatting>
  <conditionalFormatting sqref="E149">
    <cfRule type="cellIs" dxfId="856" priority="148" stopIfTrue="1" operator="greaterThanOrEqual">
      <formula>0.05</formula>
    </cfRule>
  </conditionalFormatting>
  <conditionalFormatting sqref="E150">
    <cfRule type="cellIs" dxfId="855" priority="149" stopIfTrue="1" operator="greaterThanOrEqual">
      <formula>0.05</formula>
    </cfRule>
  </conditionalFormatting>
  <conditionalFormatting sqref="E151">
    <cfRule type="cellIs" dxfId="854" priority="150" stopIfTrue="1" operator="greaterThanOrEqual">
      <formula>0.05</formula>
    </cfRule>
  </conditionalFormatting>
  <conditionalFormatting sqref="E152">
    <cfRule type="cellIs" dxfId="853" priority="151" stopIfTrue="1" operator="greaterThanOrEqual">
      <formula>0.05</formula>
    </cfRule>
  </conditionalFormatting>
  <conditionalFormatting sqref="E153">
    <cfRule type="cellIs" dxfId="852" priority="152" stopIfTrue="1" operator="greaterThanOrEqual">
      <formula>0.05</formula>
    </cfRule>
  </conditionalFormatting>
  <conditionalFormatting sqref="E154">
    <cfRule type="cellIs" dxfId="851" priority="153" stopIfTrue="1" operator="greaterThanOrEqual">
      <formula>0.05</formula>
    </cfRule>
  </conditionalFormatting>
  <conditionalFormatting sqref="E155">
    <cfRule type="cellIs" dxfId="850" priority="154" stopIfTrue="1" operator="greaterThanOrEqual">
      <formula>0.05</formula>
    </cfRule>
  </conditionalFormatting>
  <conditionalFormatting sqref="E156">
    <cfRule type="cellIs" dxfId="849" priority="155" stopIfTrue="1" operator="greaterThanOrEqual">
      <formula>0.05</formula>
    </cfRule>
  </conditionalFormatting>
  <conditionalFormatting sqref="E157">
    <cfRule type="cellIs" dxfId="848" priority="156" stopIfTrue="1" operator="greaterThanOrEqual">
      <formula>0.05</formula>
    </cfRule>
  </conditionalFormatting>
  <conditionalFormatting sqref="E158">
    <cfRule type="cellIs" dxfId="847" priority="157" stopIfTrue="1" operator="greaterThanOrEqual">
      <formula>0.05</formula>
    </cfRule>
  </conditionalFormatting>
  <conditionalFormatting sqref="E159">
    <cfRule type="cellIs" dxfId="846" priority="158" stopIfTrue="1" operator="greaterThanOrEqual">
      <formula>0.05</formula>
    </cfRule>
  </conditionalFormatting>
  <conditionalFormatting sqref="E160">
    <cfRule type="cellIs" dxfId="845" priority="159" stopIfTrue="1" operator="greaterThanOrEqual">
      <formula>0.05</formula>
    </cfRule>
  </conditionalFormatting>
  <conditionalFormatting sqref="E161">
    <cfRule type="cellIs" dxfId="844" priority="160" stopIfTrue="1" operator="greaterThanOrEqual">
      <formula>0.05</formula>
    </cfRule>
  </conditionalFormatting>
  <conditionalFormatting sqref="E162">
    <cfRule type="cellIs" dxfId="843" priority="161" stopIfTrue="1" operator="greaterThanOrEqual">
      <formula>0.05</formula>
    </cfRule>
  </conditionalFormatting>
  <conditionalFormatting sqref="E163">
    <cfRule type="cellIs" dxfId="842" priority="162" stopIfTrue="1" operator="greaterThanOrEqual">
      <formula>0.05</formula>
    </cfRule>
  </conditionalFormatting>
  <conditionalFormatting sqref="E164">
    <cfRule type="cellIs" dxfId="841" priority="163" stopIfTrue="1" operator="greaterThanOrEqual">
      <formula>0.05</formula>
    </cfRule>
  </conditionalFormatting>
  <conditionalFormatting sqref="E165">
    <cfRule type="cellIs" dxfId="840" priority="164" stopIfTrue="1" operator="greaterThanOrEqual">
      <formula>0.05</formula>
    </cfRule>
  </conditionalFormatting>
  <conditionalFormatting sqref="E166">
    <cfRule type="cellIs" dxfId="839" priority="165" stopIfTrue="1" operator="greaterThanOrEqual">
      <formula>0.05</formula>
    </cfRule>
  </conditionalFormatting>
  <conditionalFormatting sqref="E167">
    <cfRule type="cellIs" dxfId="838" priority="166" stopIfTrue="1" operator="greaterThanOrEqual">
      <formula>0.05</formula>
    </cfRule>
  </conditionalFormatting>
  <conditionalFormatting sqref="E168">
    <cfRule type="cellIs" dxfId="837" priority="167" stopIfTrue="1" operator="greaterThanOrEqual">
      <formula>0.05</formula>
    </cfRule>
  </conditionalFormatting>
  <conditionalFormatting sqref="E169">
    <cfRule type="cellIs" dxfId="836" priority="168" stopIfTrue="1" operator="greaterThanOrEqual">
      <formula>0.05</formula>
    </cfRule>
  </conditionalFormatting>
  <conditionalFormatting sqref="E170">
    <cfRule type="cellIs" dxfId="835" priority="169" stopIfTrue="1" operator="greaterThanOrEqual">
      <formula>0.05</formula>
    </cfRule>
  </conditionalFormatting>
  <conditionalFormatting sqref="E171">
    <cfRule type="cellIs" dxfId="834" priority="170" stopIfTrue="1" operator="greaterThanOrEqual">
      <formula>0.05</formula>
    </cfRule>
  </conditionalFormatting>
  <conditionalFormatting sqref="E172">
    <cfRule type="cellIs" dxfId="833" priority="171" stopIfTrue="1" operator="greaterThanOrEqual">
      <formula>0.05</formula>
    </cfRule>
  </conditionalFormatting>
  <conditionalFormatting sqref="E173">
    <cfRule type="cellIs" dxfId="832" priority="172" stopIfTrue="1" operator="greaterThanOrEqual">
      <formula>0.05</formula>
    </cfRule>
  </conditionalFormatting>
  <conditionalFormatting sqref="E174">
    <cfRule type="cellIs" dxfId="831" priority="173" stopIfTrue="1" operator="greaterThanOrEqual">
      <formula>0.05</formula>
    </cfRule>
  </conditionalFormatting>
  <conditionalFormatting sqref="E175">
    <cfRule type="cellIs" dxfId="830" priority="174" stopIfTrue="1" operator="greaterThanOrEqual">
      <formula>0.05</formula>
    </cfRule>
  </conditionalFormatting>
  <conditionalFormatting sqref="E176">
    <cfRule type="cellIs" dxfId="829" priority="175" stopIfTrue="1" operator="greaterThanOrEqual">
      <formula>0.05</formula>
    </cfRule>
  </conditionalFormatting>
  <conditionalFormatting sqref="E177">
    <cfRule type="cellIs" dxfId="828" priority="176" stopIfTrue="1" operator="greaterThanOrEqual">
      <formula>0.05</formula>
    </cfRule>
  </conditionalFormatting>
  <conditionalFormatting sqref="E178">
    <cfRule type="cellIs" dxfId="827" priority="177" stopIfTrue="1" operator="greaterThanOrEqual">
      <formula>0.05</formula>
    </cfRule>
  </conditionalFormatting>
  <conditionalFormatting sqref="E179">
    <cfRule type="cellIs" dxfId="826" priority="178" stopIfTrue="1" operator="greaterThanOrEqual">
      <formula>0.05</formula>
    </cfRule>
  </conditionalFormatting>
  <conditionalFormatting sqref="E180">
    <cfRule type="cellIs" dxfId="825" priority="179" stopIfTrue="1" operator="greaterThanOrEqual">
      <formula>0.05</formula>
    </cfRule>
  </conditionalFormatting>
  <conditionalFormatting sqref="E181">
    <cfRule type="cellIs" dxfId="824" priority="180" stopIfTrue="1" operator="greaterThanOrEqual">
      <formula>0.05</formula>
    </cfRule>
  </conditionalFormatting>
  <conditionalFormatting sqref="E182">
    <cfRule type="cellIs" dxfId="823" priority="181" stopIfTrue="1" operator="greaterThanOrEqual">
      <formula>0.05</formula>
    </cfRule>
  </conditionalFormatting>
  <conditionalFormatting sqref="E183">
    <cfRule type="cellIs" dxfId="822" priority="182" stopIfTrue="1" operator="greaterThanOrEqual">
      <formula>0.05</formula>
    </cfRule>
  </conditionalFormatting>
  <conditionalFormatting sqref="E184">
    <cfRule type="cellIs" dxfId="821" priority="183" stopIfTrue="1" operator="greaterThanOrEqual">
      <formula>0.05</formula>
    </cfRule>
  </conditionalFormatting>
  <conditionalFormatting sqref="E185">
    <cfRule type="cellIs" dxfId="820" priority="184" stopIfTrue="1" operator="greaterThanOrEqual">
      <formula>0.05</formula>
    </cfRule>
  </conditionalFormatting>
  <conditionalFormatting sqref="E186">
    <cfRule type="cellIs" dxfId="819" priority="185" stopIfTrue="1" operator="greaterThanOrEqual">
      <formula>0.05</formula>
    </cfRule>
  </conditionalFormatting>
  <conditionalFormatting sqref="E187">
    <cfRule type="cellIs" dxfId="818" priority="186" stopIfTrue="1" operator="greaterThanOrEqual">
      <formula>0.05</formula>
    </cfRule>
  </conditionalFormatting>
  <conditionalFormatting sqref="E188">
    <cfRule type="cellIs" dxfId="817" priority="187" stopIfTrue="1" operator="greaterThanOrEqual">
      <formula>0.05</formula>
    </cfRule>
  </conditionalFormatting>
  <conditionalFormatting sqref="E189">
    <cfRule type="cellIs" dxfId="816" priority="188" stopIfTrue="1" operator="greaterThanOrEqual">
      <formula>0.05</formula>
    </cfRule>
  </conditionalFormatting>
  <conditionalFormatting sqref="E190">
    <cfRule type="cellIs" dxfId="815" priority="189" stopIfTrue="1" operator="greaterThanOrEqual">
      <formula>0.05</formula>
    </cfRule>
  </conditionalFormatting>
  <conditionalFormatting sqref="E191">
    <cfRule type="cellIs" dxfId="814" priority="190" stopIfTrue="1" operator="greaterThanOrEqual">
      <formula>0.05</formula>
    </cfRule>
  </conditionalFormatting>
  <conditionalFormatting sqref="E192">
    <cfRule type="cellIs" dxfId="813" priority="191" stopIfTrue="1" operator="greaterThanOrEqual">
      <formula>0.05</formula>
    </cfRule>
  </conditionalFormatting>
  <conditionalFormatting sqref="E193">
    <cfRule type="cellIs" dxfId="812" priority="192" stopIfTrue="1" operator="greaterThanOrEqual">
      <formula>0.05</formula>
    </cfRule>
  </conditionalFormatting>
  <conditionalFormatting sqref="E194">
    <cfRule type="cellIs" dxfId="811" priority="193" stopIfTrue="1" operator="greaterThanOrEqual">
      <formula>0.05</formula>
    </cfRule>
  </conditionalFormatting>
  <conditionalFormatting sqref="E195">
    <cfRule type="cellIs" dxfId="810" priority="194" stopIfTrue="1" operator="greaterThanOrEqual">
      <formula>0.05</formula>
    </cfRule>
  </conditionalFormatting>
  <conditionalFormatting sqref="E196">
    <cfRule type="cellIs" dxfId="809" priority="195" stopIfTrue="1" operator="greaterThanOrEqual">
      <formula>0.05</formula>
    </cfRule>
  </conditionalFormatting>
  <conditionalFormatting sqref="E197">
    <cfRule type="cellIs" dxfId="808" priority="196" stopIfTrue="1" operator="greaterThanOrEqual">
      <formula>0.05</formula>
    </cfRule>
  </conditionalFormatting>
  <conditionalFormatting sqref="E198">
    <cfRule type="cellIs" dxfId="807" priority="197" stopIfTrue="1" operator="greaterThanOrEqual">
      <formula>0.05</formula>
    </cfRule>
  </conditionalFormatting>
  <conditionalFormatting sqref="E199">
    <cfRule type="cellIs" dxfId="806" priority="198" stopIfTrue="1" operator="greaterThanOrEqual">
      <formula>0.05</formula>
    </cfRule>
  </conditionalFormatting>
  <conditionalFormatting sqref="E200">
    <cfRule type="cellIs" dxfId="805" priority="199" stopIfTrue="1" operator="greaterThanOrEqual">
      <formula>0.05</formula>
    </cfRule>
  </conditionalFormatting>
  <conditionalFormatting sqref="E201">
    <cfRule type="cellIs" dxfId="804" priority="200" stopIfTrue="1" operator="greaterThanOrEqual">
      <formula>0.05</formula>
    </cfRule>
  </conditionalFormatting>
  <conditionalFormatting sqref="E202">
    <cfRule type="cellIs" dxfId="803" priority="201" stopIfTrue="1" operator="greaterThanOrEqual">
      <formula>0.05</formula>
    </cfRule>
  </conditionalFormatting>
  <conditionalFormatting sqref="E203">
    <cfRule type="cellIs" dxfId="802" priority="202" stopIfTrue="1" operator="greaterThanOrEqual">
      <formula>0.05</formula>
    </cfRule>
  </conditionalFormatting>
  <conditionalFormatting sqref="E204">
    <cfRule type="cellIs" dxfId="801" priority="203" stopIfTrue="1" operator="greaterThanOrEqual">
      <formula>0.05</formula>
    </cfRule>
  </conditionalFormatting>
  <conditionalFormatting sqref="E205">
    <cfRule type="cellIs" dxfId="800" priority="204" stopIfTrue="1" operator="greaterThanOrEqual">
      <formula>0.05</formula>
    </cfRule>
  </conditionalFormatting>
  <conditionalFormatting sqref="E206">
    <cfRule type="cellIs" dxfId="799" priority="205" stopIfTrue="1" operator="greaterThanOrEqual">
      <formula>0.05</formula>
    </cfRule>
  </conditionalFormatting>
  <conditionalFormatting sqref="E207">
    <cfRule type="cellIs" dxfId="798" priority="206" stopIfTrue="1" operator="greaterThanOrEqual">
      <formula>0.05</formula>
    </cfRule>
  </conditionalFormatting>
  <conditionalFormatting sqref="E208">
    <cfRule type="cellIs" dxfId="797" priority="207" stopIfTrue="1" operator="greaterThanOrEqual">
      <formula>0.05</formula>
    </cfRule>
  </conditionalFormatting>
  <conditionalFormatting sqref="E209">
    <cfRule type="cellIs" dxfId="796" priority="208" stopIfTrue="1" operator="greaterThanOrEqual">
      <formula>0.05</formula>
    </cfRule>
  </conditionalFormatting>
  <conditionalFormatting sqref="E210">
    <cfRule type="cellIs" dxfId="795" priority="209" stopIfTrue="1" operator="greaterThanOrEqual">
      <formula>0.05</formula>
    </cfRule>
  </conditionalFormatting>
  <conditionalFormatting sqref="E211">
    <cfRule type="cellIs" dxfId="794" priority="210" stopIfTrue="1" operator="greaterThanOrEqual">
      <formula>0.05</formula>
    </cfRule>
  </conditionalFormatting>
  <conditionalFormatting sqref="E212">
    <cfRule type="cellIs" dxfId="793" priority="211" stopIfTrue="1" operator="greaterThanOrEqual">
      <formula>0.05</formula>
    </cfRule>
  </conditionalFormatting>
  <conditionalFormatting sqref="E213">
    <cfRule type="cellIs" dxfId="792" priority="212" stopIfTrue="1" operator="greaterThanOrEqual">
      <formula>0.05</formula>
    </cfRule>
  </conditionalFormatting>
  <conditionalFormatting sqref="E214">
    <cfRule type="cellIs" dxfId="791" priority="213" stopIfTrue="1" operator="greaterThanOrEqual">
      <formula>0.05</formula>
    </cfRule>
  </conditionalFormatting>
  <conditionalFormatting sqref="E215">
    <cfRule type="cellIs" dxfId="790" priority="214" stopIfTrue="1" operator="greaterThanOrEqual">
      <formula>0.05</formula>
    </cfRule>
  </conditionalFormatting>
  <conditionalFormatting sqref="E216">
    <cfRule type="cellIs" dxfId="789" priority="215" stopIfTrue="1" operator="greaterThanOrEqual">
      <formula>0.05</formula>
    </cfRule>
  </conditionalFormatting>
  <conditionalFormatting sqref="E217">
    <cfRule type="cellIs" dxfId="788" priority="216" stopIfTrue="1" operator="greaterThanOrEqual">
      <formula>0.05</formula>
    </cfRule>
  </conditionalFormatting>
  <conditionalFormatting sqref="E218">
    <cfRule type="cellIs" dxfId="787" priority="217" stopIfTrue="1" operator="greaterThanOrEqual">
      <formula>0.05</formula>
    </cfRule>
  </conditionalFormatting>
  <conditionalFormatting sqref="E219">
    <cfRule type="cellIs" dxfId="786" priority="218" stopIfTrue="1" operator="greaterThanOrEqual">
      <formula>0.05</formula>
    </cfRule>
  </conditionalFormatting>
  <conditionalFormatting sqref="E220">
    <cfRule type="cellIs" dxfId="785" priority="219" stopIfTrue="1" operator="greaterThanOrEqual">
      <formula>0.05</formula>
    </cfRule>
  </conditionalFormatting>
  <conditionalFormatting sqref="E221">
    <cfRule type="cellIs" dxfId="784" priority="220" stopIfTrue="1" operator="greaterThanOrEqual">
      <formula>0.05</formula>
    </cfRule>
  </conditionalFormatting>
  <conditionalFormatting sqref="E222">
    <cfRule type="cellIs" dxfId="783" priority="221" stopIfTrue="1" operator="greaterThanOrEqual">
      <formula>0.05</formula>
    </cfRule>
  </conditionalFormatting>
  <conditionalFormatting sqref="E223">
    <cfRule type="cellIs" dxfId="782" priority="222" stopIfTrue="1" operator="greaterThanOrEqual">
      <formula>0.05</formula>
    </cfRule>
  </conditionalFormatting>
  <conditionalFormatting sqref="E224">
    <cfRule type="cellIs" dxfId="781" priority="223" stopIfTrue="1" operator="greaterThanOrEqual">
      <formula>0.05</formula>
    </cfRule>
  </conditionalFormatting>
  <conditionalFormatting sqref="E225">
    <cfRule type="cellIs" dxfId="780" priority="224" stopIfTrue="1" operator="greaterThanOrEqual">
      <formula>0.05</formula>
    </cfRule>
  </conditionalFormatting>
  <conditionalFormatting sqref="E226">
    <cfRule type="cellIs" dxfId="779" priority="225" stopIfTrue="1" operator="greaterThanOrEqual">
      <formula>0.05</formula>
    </cfRule>
  </conditionalFormatting>
  <conditionalFormatting sqref="E227">
    <cfRule type="cellIs" dxfId="778" priority="226" stopIfTrue="1" operator="greaterThanOrEqual">
      <formula>0.05</formula>
    </cfRule>
  </conditionalFormatting>
  <conditionalFormatting sqref="E228">
    <cfRule type="cellIs" dxfId="777" priority="227" stopIfTrue="1" operator="greaterThanOrEqual">
      <formula>0.05</formula>
    </cfRule>
  </conditionalFormatting>
  <conditionalFormatting sqref="E229">
    <cfRule type="cellIs" dxfId="776" priority="228" stopIfTrue="1" operator="greaterThanOrEqual">
      <formula>0.05</formula>
    </cfRule>
  </conditionalFormatting>
  <conditionalFormatting sqref="E230">
    <cfRule type="cellIs" dxfId="775" priority="229" stopIfTrue="1" operator="greaterThanOrEqual">
      <formula>0.05</formula>
    </cfRule>
  </conditionalFormatting>
  <conditionalFormatting sqref="E231">
    <cfRule type="cellIs" dxfId="774" priority="230" stopIfTrue="1" operator="greaterThanOrEqual">
      <formula>0.05</formula>
    </cfRule>
  </conditionalFormatting>
  <conditionalFormatting sqref="E232">
    <cfRule type="cellIs" dxfId="773" priority="231" stopIfTrue="1" operator="greaterThanOrEqual">
      <formula>0.05</formula>
    </cfRule>
  </conditionalFormatting>
  <conditionalFormatting sqref="E233">
    <cfRule type="cellIs" dxfId="772" priority="232" stopIfTrue="1" operator="greaterThanOrEqual">
      <formula>0.05</formula>
    </cfRule>
  </conditionalFormatting>
  <conditionalFormatting sqref="E234">
    <cfRule type="cellIs" dxfId="771" priority="233" stopIfTrue="1" operator="greaterThanOrEqual">
      <formula>0.05</formula>
    </cfRule>
  </conditionalFormatting>
  <conditionalFormatting sqref="E235">
    <cfRule type="cellIs" dxfId="770" priority="234" stopIfTrue="1" operator="greaterThanOrEqual">
      <formula>0.05</formula>
    </cfRule>
  </conditionalFormatting>
  <conditionalFormatting sqref="E236">
    <cfRule type="cellIs" dxfId="769" priority="235" stopIfTrue="1" operator="greaterThanOrEqual">
      <formula>0.05</formula>
    </cfRule>
  </conditionalFormatting>
  <conditionalFormatting sqref="E237">
    <cfRule type="cellIs" dxfId="768" priority="236" stopIfTrue="1" operator="greaterThanOrEqual">
      <formula>0.05</formula>
    </cfRule>
  </conditionalFormatting>
  <conditionalFormatting sqref="E238">
    <cfRule type="cellIs" dxfId="767" priority="237" stopIfTrue="1" operator="greaterThanOrEqual">
      <formula>0.05</formula>
    </cfRule>
  </conditionalFormatting>
  <conditionalFormatting sqref="E239">
    <cfRule type="cellIs" dxfId="766" priority="238" stopIfTrue="1" operator="greaterThanOrEqual">
      <formula>0.05</formula>
    </cfRule>
  </conditionalFormatting>
  <conditionalFormatting sqref="E240">
    <cfRule type="cellIs" dxfId="765" priority="239" stopIfTrue="1" operator="greaterThanOrEqual">
      <formula>0.05</formula>
    </cfRule>
  </conditionalFormatting>
  <conditionalFormatting sqref="E241">
    <cfRule type="cellIs" dxfId="764" priority="240" stopIfTrue="1" operator="greaterThanOrEqual">
      <formula>0.05</formula>
    </cfRule>
  </conditionalFormatting>
  <conditionalFormatting sqref="E242">
    <cfRule type="cellIs" dxfId="763" priority="241" stopIfTrue="1" operator="greaterThanOrEqual">
      <formula>0.05</formula>
    </cfRule>
  </conditionalFormatting>
  <conditionalFormatting sqref="E243">
    <cfRule type="cellIs" dxfId="762" priority="242" stopIfTrue="1" operator="greaterThanOrEqual">
      <formula>0.05</formula>
    </cfRule>
  </conditionalFormatting>
  <conditionalFormatting sqref="E244">
    <cfRule type="cellIs" dxfId="761" priority="243" stopIfTrue="1" operator="greaterThanOrEqual">
      <formula>0.05</formula>
    </cfRule>
  </conditionalFormatting>
  <conditionalFormatting sqref="E245">
    <cfRule type="cellIs" dxfId="760" priority="244" stopIfTrue="1" operator="greaterThanOrEqual">
      <formula>0.05</formula>
    </cfRule>
  </conditionalFormatting>
  <conditionalFormatting sqref="E246">
    <cfRule type="cellIs" dxfId="759" priority="245" stopIfTrue="1" operator="greaterThanOrEqual">
      <formula>0.05</formula>
    </cfRule>
  </conditionalFormatting>
  <conditionalFormatting sqref="E247">
    <cfRule type="cellIs" dxfId="758" priority="246" stopIfTrue="1" operator="greaterThanOrEqual">
      <formula>0.05</formula>
    </cfRule>
  </conditionalFormatting>
  <conditionalFormatting sqref="E248">
    <cfRule type="cellIs" dxfId="757" priority="247" stopIfTrue="1" operator="greaterThanOrEqual">
      <formula>0.05</formula>
    </cfRule>
  </conditionalFormatting>
  <conditionalFormatting sqref="E249">
    <cfRule type="cellIs" dxfId="756" priority="248" stopIfTrue="1" operator="greaterThanOrEqual">
      <formula>0.05</formula>
    </cfRule>
  </conditionalFormatting>
  <conditionalFormatting sqref="E250">
    <cfRule type="cellIs" dxfId="755" priority="249" stopIfTrue="1" operator="greaterThanOrEqual">
      <formula>0.05</formula>
    </cfRule>
  </conditionalFormatting>
  <conditionalFormatting sqref="E251">
    <cfRule type="cellIs" dxfId="754" priority="250" stopIfTrue="1" operator="greaterThanOrEqual">
      <formula>0.05</formula>
    </cfRule>
  </conditionalFormatting>
  <conditionalFormatting sqref="E252">
    <cfRule type="cellIs" dxfId="753" priority="251" stopIfTrue="1" operator="greaterThanOrEqual">
      <formula>0.05</formula>
    </cfRule>
  </conditionalFormatting>
  <conditionalFormatting sqref="E253">
    <cfRule type="cellIs" dxfId="752" priority="252" stopIfTrue="1" operator="greaterThanOrEqual">
      <formula>0.05</formula>
    </cfRule>
  </conditionalFormatting>
  <conditionalFormatting sqref="E254">
    <cfRule type="cellIs" dxfId="751" priority="253" stopIfTrue="1" operator="greaterThanOrEqual">
      <formula>0.05</formula>
    </cfRule>
  </conditionalFormatting>
  <conditionalFormatting sqref="E255">
    <cfRule type="cellIs" dxfId="750" priority="254" stopIfTrue="1" operator="greaterThanOrEqual">
      <formula>0.05</formula>
    </cfRule>
  </conditionalFormatting>
  <conditionalFormatting sqref="E256">
    <cfRule type="cellIs" dxfId="749" priority="255" stopIfTrue="1" operator="greaterThanOrEqual">
      <formula>0.05</formula>
    </cfRule>
  </conditionalFormatting>
  <conditionalFormatting sqref="E257">
    <cfRule type="cellIs" dxfId="748" priority="256" stopIfTrue="1" operator="greaterThanOrEqual">
      <formula>0.05</formula>
    </cfRule>
  </conditionalFormatting>
  <conditionalFormatting sqref="E258">
    <cfRule type="cellIs" dxfId="747" priority="257" stopIfTrue="1" operator="greaterThanOrEqual">
      <formula>0.05</formula>
    </cfRule>
  </conditionalFormatting>
  <conditionalFormatting sqref="E259">
    <cfRule type="cellIs" dxfId="746" priority="258" stopIfTrue="1" operator="greaterThanOrEqual">
      <formula>0.05</formula>
    </cfRule>
  </conditionalFormatting>
  <conditionalFormatting sqref="E260">
    <cfRule type="cellIs" dxfId="745" priority="259" stopIfTrue="1" operator="greaterThanOrEqual">
      <formula>0.05</formula>
    </cfRule>
  </conditionalFormatting>
  <conditionalFormatting sqref="E261">
    <cfRule type="cellIs" dxfId="744" priority="260" stopIfTrue="1" operator="greaterThanOrEqual">
      <formula>0.05</formula>
    </cfRule>
  </conditionalFormatting>
  <conditionalFormatting sqref="E262">
    <cfRule type="cellIs" dxfId="743" priority="261" stopIfTrue="1" operator="greaterThanOrEqual">
      <formula>0.05</formula>
    </cfRule>
  </conditionalFormatting>
  <conditionalFormatting sqref="E263">
    <cfRule type="cellIs" dxfId="742" priority="262" stopIfTrue="1" operator="greaterThanOrEqual">
      <formula>0.05</formula>
    </cfRule>
  </conditionalFormatting>
  <conditionalFormatting sqref="E264">
    <cfRule type="cellIs" dxfId="741" priority="263" stopIfTrue="1" operator="greaterThanOrEqual">
      <formula>0.05</formula>
    </cfRule>
  </conditionalFormatting>
  <conditionalFormatting sqref="E265">
    <cfRule type="cellIs" dxfId="740" priority="264" stopIfTrue="1" operator="greaterThanOrEqual">
      <formula>0.05</formula>
    </cfRule>
  </conditionalFormatting>
  <conditionalFormatting sqref="E266">
    <cfRule type="cellIs" dxfId="739" priority="265" stopIfTrue="1" operator="greaterThanOrEqual">
      <formula>0.05</formula>
    </cfRule>
  </conditionalFormatting>
  <conditionalFormatting sqref="E267">
    <cfRule type="cellIs" dxfId="738" priority="266" stopIfTrue="1" operator="greaterThanOrEqual">
      <formula>0.05</formula>
    </cfRule>
  </conditionalFormatting>
  <conditionalFormatting sqref="E268">
    <cfRule type="cellIs" dxfId="737" priority="267" stopIfTrue="1" operator="greaterThanOrEqual">
      <formula>0.05</formula>
    </cfRule>
  </conditionalFormatting>
  <conditionalFormatting sqref="E269">
    <cfRule type="cellIs" dxfId="736" priority="268" stopIfTrue="1" operator="greaterThanOrEqual">
      <formula>0.05</formula>
    </cfRule>
  </conditionalFormatting>
  <conditionalFormatting sqref="E270">
    <cfRule type="cellIs" dxfId="735" priority="269" stopIfTrue="1" operator="greaterThanOrEqual">
      <formula>0.05</formula>
    </cfRule>
  </conditionalFormatting>
  <conditionalFormatting sqref="E271">
    <cfRule type="cellIs" dxfId="734" priority="270" stopIfTrue="1" operator="greaterThanOrEqual">
      <formula>0.05</formula>
    </cfRule>
  </conditionalFormatting>
  <conditionalFormatting sqref="E272">
    <cfRule type="cellIs" dxfId="733" priority="271" stopIfTrue="1" operator="greaterThanOrEqual">
      <formula>0.05</formula>
    </cfRule>
  </conditionalFormatting>
  <conditionalFormatting sqref="E273">
    <cfRule type="cellIs" dxfId="732" priority="272" stopIfTrue="1" operator="greaterThanOrEqual">
      <formula>0.05</formula>
    </cfRule>
  </conditionalFormatting>
  <conditionalFormatting sqref="E274">
    <cfRule type="cellIs" dxfId="731" priority="273" stopIfTrue="1" operator="greaterThanOrEqual">
      <formula>0.05</formula>
    </cfRule>
  </conditionalFormatting>
  <conditionalFormatting sqref="E275">
    <cfRule type="cellIs" dxfId="730" priority="274" stopIfTrue="1" operator="greaterThanOrEqual">
      <formula>0.05</formula>
    </cfRule>
  </conditionalFormatting>
  <conditionalFormatting sqref="E276">
    <cfRule type="cellIs" dxfId="729" priority="275" stopIfTrue="1" operator="greaterThanOrEqual">
      <formula>0.05</formula>
    </cfRule>
  </conditionalFormatting>
  <conditionalFormatting sqref="E277">
    <cfRule type="cellIs" dxfId="728" priority="276" stopIfTrue="1" operator="greaterThanOrEqual">
      <formula>0.05</formula>
    </cfRule>
  </conditionalFormatting>
  <conditionalFormatting sqref="E278">
    <cfRule type="cellIs" dxfId="727" priority="277" stopIfTrue="1" operator="greaterThanOrEqual">
      <formula>0.05</formula>
    </cfRule>
  </conditionalFormatting>
  <conditionalFormatting sqref="E279">
    <cfRule type="cellIs" dxfId="726" priority="278" stopIfTrue="1" operator="greaterThanOrEqual">
      <formula>0.05</formula>
    </cfRule>
  </conditionalFormatting>
  <conditionalFormatting sqref="E280">
    <cfRule type="cellIs" dxfId="725" priority="279" stopIfTrue="1" operator="greaterThanOrEqual">
      <formula>0.05</formula>
    </cfRule>
  </conditionalFormatting>
  <conditionalFormatting sqref="E281">
    <cfRule type="cellIs" dxfId="724" priority="280" stopIfTrue="1" operator="greaterThanOrEqual">
      <formula>0.05</formula>
    </cfRule>
  </conditionalFormatting>
  <conditionalFormatting sqref="E282">
    <cfRule type="cellIs" dxfId="723" priority="281" stopIfTrue="1" operator="greaterThanOrEqual">
      <formula>0.05</formula>
    </cfRule>
  </conditionalFormatting>
  <conditionalFormatting sqref="E283">
    <cfRule type="cellIs" dxfId="722" priority="282" stopIfTrue="1" operator="greaterThanOrEqual">
      <formula>0.05</formula>
    </cfRule>
  </conditionalFormatting>
  <conditionalFormatting sqref="E284">
    <cfRule type="cellIs" dxfId="721" priority="283" stopIfTrue="1" operator="greaterThanOrEqual">
      <formula>0.05</formula>
    </cfRule>
  </conditionalFormatting>
  <conditionalFormatting sqref="E285">
    <cfRule type="cellIs" dxfId="720" priority="284" stopIfTrue="1" operator="greaterThanOrEqual">
      <formula>0.05</formula>
    </cfRule>
  </conditionalFormatting>
  <conditionalFormatting sqref="E286">
    <cfRule type="cellIs" dxfId="719" priority="285" stopIfTrue="1" operator="greaterThanOrEqual">
      <formula>0.05</formula>
    </cfRule>
  </conditionalFormatting>
  <conditionalFormatting sqref="E287">
    <cfRule type="cellIs" dxfId="718" priority="286" stopIfTrue="1" operator="greaterThanOrEqual">
      <formula>0.05</formula>
    </cfRule>
  </conditionalFormatting>
  <conditionalFormatting sqref="E288">
    <cfRule type="cellIs" dxfId="717" priority="287" stopIfTrue="1" operator="greaterThanOrEqual">
      <formula>0.05</formula>
    </cfRule>
  </conditionalFormatting>
  <conditionalFormatting sqref="E289">
    <cfRule type="cellIs" dxfId="716" priority="288" stopIfTrue="1" operator="greaterThanOrEqual">
      <formula>0.05</formula>
    </cfRule>
  </conditionalFormatting>
  <conditionalFormatting sqref="E290">
    <cfRule type="cellIs" dxfId="715" priority="289" stopIfTrue="1" operator="greaterThanOrEqual">
      <formula>0.05</formula>
    </cfRule>
  </conditionalFormatting>
  <conditionalFormatting sqref="E291">
    <cfRule type="cellIs" dxfId="714" priority="290" stopIfTrue="1" operator="greaterThanOrEqual">
      <formula>0.05</formula>
    </cfRule>
  </conditionalFormatting>
  <conditionalFormatting sqref="E292">
    <cfRule type="cellIs" dxfId="713" priority="291" stopIfTrue="1" operator="greaterThanOrEqual">
      <formula>0.05</formula>
    </cfRule>
  </conditionalFormatting>
  <conditionalFormatting sqref="E293">
    <cfRule type="cellIs" dxfId="712" priority="292" stopIfTrue="1" operator="greaterThanOrEqual">
      <formula>0.05</formula>
    </cfRule>
  </conditionalFormatting>
  <conditionalFormatting sqref="E294">
    <cfRule type="cellIs" dxfId="711" priority="293" stopIfTrue="1" operator="greaterThanOrEqual">
      <formula>0.05</formula>
    </cfRule>
  </conditionalFormatting>
  <conditionalFormatting sqref="E295">
    <cfRule type="cellIs" dxfId="710" priority="294" stopIfTrue="1" operator="greaterThanOrEqual">
      <formula>0.05</formula>
    </cfRule>
  </conditionalFormatting>
  <conditionalFormatting sqref="E296">
    <cfRule type="cellIs" dxfId="709" priority="295" stopIfTrue="1" operator="greaterThanOrEqual">
      <formula>0.05</formula>
    </cfRule>
  </conditionalFormatting>
  <conditionalFormatting sqref="E297">
    <cfRule type="cellIs" dxfId="708" priority="296" stopIfTrue="1" operator="greaterThanOrEqual">
      <formula>0.05</formula>
    </cfRule>
  </conditionalFormatting>
  <conditionalFormatting sqref="E298">
    <cfRule type="cellIs" dxfId="707" priority="297" stopIfTrue="1" operator="greaterThanOrEqual">
      <formula>0.05</formula>
    </cfRule>
  </conditionalFormatting>
  <conditionalFormatting sqref="E299">
    <cfRule type="cellIs" dxfId="706" priority="298" stopIfTrue="1" operator="greaterThanOrEqual">
      <formula>0.05</formula>
    </cfRule>
  </conditionalFormatting>
  <conditionalFormatting sqref="E300">
    <cfRule type="cellIs" dxfId="705" priority="299" stopIfTrue="1" operator="greaterThanOrEqual">
      <formula>0.05</formula>
    </cfRule>
  </conditionalFormatting>
  <conditionalFormatting sqref="E301">
    <cfRule type="cellIs" dxfId="704" priority="300" stopIfTrue="1" operator="greaterThanOrEqual">
      <formula>0.05</formula>
    </cfRule>
  </conditionalFormatting>
  <conditionalFormatting sqref="E302">
    <cfRule type="cellIs" dxfId="703" priority="301" stopIfTrue="1" operator="greaterThanOrEqual">
      <formula>0.05</formula>
    </cfRule>
  </conditionalFormatting>
  <conditionalFormatting sqref="E303">
    <cfRule type="cellIs" dxfId="702" priority="302" stopIfTrue="1" operator="greaterThanOrEqual">
      <formula>0.05</formula>
    </cfRule>
  </conditionalFormatting>
  <conditionalFormatting sqref="E304">
    <cfRule type="cellIs" dxfId="701" priority="303" stopIfTrue="1" operator="greaterThanOrEqual">
      <formula>0.05</formula>
    </cfRule>
  </conditionalFormatting>
  <conditionalFormatting sqref="E305">
    <cfRule type="cellIs" dxfId="700" priority="304" stopIfTrue="1" operator="greaterThanOrEqual">
      <formula>0.05</formula>
    </cfRule>
  </conditionalFormatting>
  <conditionalFormatting sqref="E306">
    <cfRule type="cellIs" dxfId="699" priority="305" stopIfTrue="1" operator="greaterThanOrEqual">
      <formula>0.05</formula>
    </cfRule>
  </conditionalFormatting>
  <conditionalFormatting sqref="E307">
    <cfRule type="cellIs" dxfId="698" priority="306" stopIfTrue="1" operator="greaterThanOrEqual">
      <formula>0.05</formula>
    </cfRule>
  </conditionalFormatting>
  <conditionalFormatting sqref="E308">
    <cfRule type="cellIs" dxfId="697" priority="307" stopIfTrue="1" operator="greaterThanOrEqual">
      <formula>0.05</formula>
    </cfRule>
  </conditionalFormatting>
  <conditionalFormatting sqref="E309">
    <cfRule type="cellIs" dxfId="696" priority="308" stopIfTrue="1" operator="greaterThanOrEqual">
      <formula>0.05</formula>
    </cfRule>
  </conditionalFormatting>
  <conditionalFormatting sqref="E310">
    <cfRule type="cellIs" dxfId="695" priority="309" stopIfTrue="1" operator="greaterThanOrEqual">
      <formula>0.05</formula>
    </cfRule>
  </conditionalFormatting>
  <conditionalFormatting sqref="E311">
    <cfRule type="cellIs" dxfId="694" priority="310" stopIfTrue="1" operator="greaterThanOrEqual">
      <formula>0.05</formula>
    </cfRule>
  </conditionalFormatting>
  <conditionalFormatting sqref="E312">
    <cfRule type="cellIs" dxfId="693" priority="311" stopIfTrue="1" operator="greaterThanOrEqual">
      <formula>0.05</formula>
    </cfRule>
  </conditionalFormatting>
  <conditionalFormatting sqref="E313">
    <cfRule type="cellIs" dxfId="692" priority="312" stopIfTrue="1" operator="greaterThanOrEqual">
      <formula>0.05</formula>
    </cfRule>
  </conditionalFormatting>
  <conditionalFormatting sqref="E314">
    <cfRule type="cellIs" dxfId="691" priority="313" stopIfTrue="1" operator="greaterThanOrEqual">
      <formula>0.05</formula>
    </cfRule>
  </conditionalFormatting>
  <conditionalFormatting sqref="E315">
    <cfRule type="cellIs" dxfId="690" priority="314" stopIfTrue="1" operator="greaterThanOrEqual">
      <formula>0.05</formula>
    </cfRule>
  </conditionalFormatting>
  <conditionalFormatting sqref="E316">
    <cfRule type="cellIs" dxfId="689" priority="315" stopIfTrue="1" operator="greaterThanOrEqual">
      <formula>0.05</formula>
    </cfRule>
  </conditionalFormatting>
  <conditionalFormatting sqref="E317">
    <cfRule type="cellIs" dxfId="688" priority="316" stopIfTrue="1" operator="greaterThanOrEqual">
      <formula>0.05</formula>
    </cfRule>
  </conditionalFormatting>
  <conditionalFormatting sqref="E318">
    <cfRule type="cellIs" dxfId="687" priority="317" stopIfTrue="1" operator="greaterThanOrEqual">
      <formula>0.05</formula>
    </cfRule>
  </conditionalFormatting>
  <conditionalFormatting sqref="E319">
    <cfRule type="cellIs" dxfId="686" priority="318" stopIfTrue="1" operator="greaterThanOrEqual">
      <formula>0.05</formula>
    </cfRule>
  </conditionalFormatting>
  <conditionalFormatting sqref="E320">
    <cfRule type="cellIs" dxfId="685" priority="319" stopIfTrue="1" operator="greaterThanOrEqual">
      <formula>0.05</formula>
    </cfRule>
  </conditionalFormatting>
  <conditionalFormatting sqref="E321">
    <cfRule type="cellIs" dxfId="684" priority="320" stopIfTrue="1" operator="greaterThanOrEqual">
      <formula>0.05</formula>
    </cfRule>
  </conditionalFormatting>
  <conditionalFormatting sqref="E322">
    <cfRule type="cellIs" dxfId="683" priority="321" stopIfTrue="1" operator="greaterThanOrEqual">
      <formula>0.05</formula>
    </cfRule>
  </conditionalFormatting>
  <conditionalFormatting sqref="E323">
    <cfRule type="cellIs" dxfId="682" priority="322" stopIfTrue="1" operator="greaterThanOrEqual">
      <formula>0.05</formula>
    </cfRule>
  </conditionalFormatting>
  <conditionalFormatting sqref="E324">
    <cfRule type="cellIs" dxfId="681" priority="323" stopIfTrue="1" operator="greaterThanOrEqual">
      <formula>0.05</formula>
    </cfRule>
  </conditionalFormatting>
  <conditionalFormatting sqref="E325">
    <cfRule type="cellIs" dxfId="680" priority="324" stopIfTrue="1" operator="greaterThanOrEqual">
      <formula>0.05</formula>
    </cfRule>
  </conditionalFormatting>
  <conditionalFormatting sqref="E326">
    <cfRule type="cellIs" dxfId="679" priority="325" stopIfTrue="1" operator="greaterThanOrEqual">
      <formula>0.05</formula>
    </cfRule>
  </conditionalFormatting>
  <conditionalFormatting sqref="E327">
    <cfRule type="cellIs" dxfId="678" priority="326" stopIfTrue="1" operator="greaterThanOrEqual">
      <formula>0.05</formula>
    </cfRule>
  </conditionalFormatting>
  <conditionalFormatting sqref="E328">
    <cfRule type="cellIs" dxfId="677" priority="327" stopIfTrue="1" operator="greaterThanOrEqual">
      <formula>0.05</formula>
    </cfRule>
  </conditionalFormatting>
  <conditionalFormatting sqref="E329">
    <cfRule type="cellIs" dxfId="676" priority="328" stopIfTrue="1" operator="greaterThanOrEqual">
      <formula>0.05</formula>
    </cfRule>
  </conditionalFormatting>
  <conditionalFormatting sqref="E330">
    <cfRule type="cellIs" dxfId="675" priority="329" stopIfTrue="1" operator="greaterThanOrEqual">
      <formula>0.05</formula>
    </cfRule>
  </conditionalFormatting>
  <conditionalFormatting sqref="E331">
    <cfRule type="cellIs" dxfId="674" priority="330" stopIfTrue="1" operator="greaterThanOrEqual">
      <formula>0.05</formula>
    </cfRule>
  </conditionalFormatting>
  <conditionalFormatting sqref="E332">
    <cfRule type="cellIs" dxfId="673" priority="331" stopIfTrue="1" operator="greaterThanOrEqual">
      <formula>0.05</formula>
    </cfRule>
  </conditionalFormatting>
  <conditionalFormatting sqref="E333">
    <cfRule type="cellIs" dxfId="672" priority="332" stopIfTrue="1" operator="greaterThanOrEqual">
      <formula>0.05</formula>
    </cfRule>
  </conditionalFormatting>
  <conditionalFormatting sqref="E334">
    <cfRule type="cellIs" dxfId="671" priority="333" stopIfTrue="1" operator="greaterThanOrEqual">
      <formula>0.05</formula>
    </cfRule>
  </conditionalFormatting>
  <conditionalFormatting sqref="E335">
    <cfRule type="cellIs" dxfId="670" priority="334" stopIfTrue="1" operator="greaterThanOrEqual">
      <formula>0.05</formula>
    </cfRule>
  </conditionalFormatting>
  <conditionalFormatting sqref="E336">
    <cfRule type="cellIs" dxfId="669" priority="335" stopIfTrue="1" operator="greaterThanOrEqual">
      <formula>0.05</formula>
    </cfRule>
  </conditionalFormatting>
  <conditionalFormatting sqref="E337">
    <cfRule type="cellIs" dxfId="668" priority="336" stopIfTrue="1" operator="greaterThanOrEqual">
      <formula>0.05</formula>
    </cfRule>
  </conditionalFormatting>
  <conditionalFormatting sqref="E338">
    <cfRule type="cellIs" dxfId="667" priority="337" stopIfTrue="1" operator="greaterThanOrEqual">
      <formula>0.05</formula>
    </cfRule>
  </conditionalFormatting>
  <conditionalFormatting sqref="E339">
    <cfRule type="cellIs" dxfId="666" priority="338" stopIfTrue="1" operator="greaterThanOrEqual">
      <formula>0.05</formula>
    </cfRule>
  </conditionalFormatting>
  <conditionalFormatting sqref="E340">
    <cfRule type="cellIs" dxfId="665" priority="339" stopIfTrue="1" operator="greaterThanOrEqual">
      <formula>0.05</formula>
    </cfRule>
  </conditionalFormatting>
  <conditionalFormatting sqref="E341">
    <cfRule type="cellIs" dxfId="664" priority="340" stopIfTrue="1" operator="greaterThanOrEqual">
      <formula>0.05</formula>
    </cfRule>
  </conditionalFormatting>
  <conditionalFormatting sqref="E342">
    <cfRule type="cellIs" dxfId="663" priority="341" stopIfTrue="1" operator="greaterThanOrEqual">
      <formula>0.05</formula>
    </cfRule>
  </conditionalFormatting>
  <conditionalFormatting sqref="E343">
    <cfRule type="cellIs" dxfId="662" priority="342" stopIfTrue="1" operator="greaterThanOrEqual">
      <formula>0.05</formula>
    </cfRule>
  </conditionalFormatting>
  <conditionalFormatting sqref="E344">
    <cfRule type="cellIs" dxfId="661" priority="343" stopIfTrue="1" operator="greaterThanOrEqual">
      <formula>0.05</formula>
    </cfRule>
  </conditionalFormatting>
  <conditionalFormatting sqref="E345">
    <cfRule type="cellIs" dxfId="660" priority="344" stopIfTrue="1" operator="greaterThanOrEqual">
      <formula>0.05</formula>
    </cfRule>
  </conditionalFormatting>
  <conditionalFormatting sqref="E346">
    <cfRule type="cellIs" dxfId="659" priority="345" stopIfTrue="1" operator="greaterThanOrEqual">
      <formula>0.05</formula>
    </cfRule>
  </conditionalFormatting>
  <conditionalFormatting sqref="E347">
    <cfRule type="cellIs" dxfId="658" priority="346" stopIfTrue="1" operator="greaterThanOrEqual">
      <formula>0.05</formula>
    </cfRule>
  </conditionalFormatting>
  <conditionalFormatting sqref="E348">
    <cfRule type="cellIs" dxfId="657" priority="347" stopIfTrue="1" operator="greaterThanOrEqual">
      <formula>0.05</formula>
    </cfRule>
  </conditionalFormatting>
  <conditionalFormatting sqref="E349">
    <cfRule type="cellIs" dxfId="656" priority="348" stopIfTrue="1" operator="greaterThanOrEqual">
      <formula>0.05</formula>
    </cfRule>
  </conditionalFormatting>
  <conditionalFormatting sqref="E350">
    <cfRule type="cellIs" dxfId="655" priority="349" stopIfTrue="1" operator="greaterThanOrEqual">
      <formula>0.05</formula>
    </cfRule>
  </conditionalFormatting>
  <conditionalFormatting sqref="E351">
    <cfRule type="cellIs" dxfId="654" priority="350" stopIfTrue="1" operator="greaterThanOrEqual">
      <formula>0.05</formula>
    </cfRule>
  </conditionalFormatting>
  <conditionalFormatting sqref="E352">
    <cfRule type="cellIs" dxfId="653" priority="351" stopIfTrue="1" operator="greaterThanOrEqual">
      <formula>0.05</formula>
    </cfRule>
  </conditionalFormatting>
  <conditionalFormatting sqref="E353">
    <cfRule type="cellIs" dxfId="652" priority="352" stopIfTrue="1" operator="greaterThanOrEqual">
      <formula>0.05</formula>
    </cfRule>
  </conditionalFormatting>
  <conditionalFormatting sqref="E354">
    <cfRule type="cellIs" dxfId="651" priority="353" stopIfTrue="1" operator="greaterThanOrEqual">
      <formula>0.05</formula>
    </cfRule>
  </conditionalFormatting>
  <conditionalFormatting sqref="E355">
    <cfRule type="cellIs" dxfId="650" priority="354" stopIfTrue="1" operator="greaterThanOrEqual">
      <formula>0.05</formula>
    </cfRule>
  </conditionalFormatting>
  <conditionalFormatting sqref="E356">
    <cfRule type="cellIs" dxfId="649" priority="355" stopIfTrue="1" operator="greaterThanOrEqual">
      <formula>0.05</formula>
    </cfRule>
  </conditionalFormatting>
  <conditionalFormatting sqref="E357">
    <cfRule type="cellIs" dxfId="648" priority="356" stopIfTrue="1" operator="greaterThanOrEqual">
      <formula>0.05</formula>
    </cfRule>
  </conditionalFormatting>
  <conditionalFormatting sqref="E358">
    <cfRule type="cellIs" dxfId="647" priority="357" stopIfTrue="1" operator="greaterThanOrEqual">
      <formula>0.05</formula>
    </cfRule>
  </conditionalFormatting>
  <conditionalFormatting sqref="E359">
    <cfRule type="cellIs" dxfId="646" priority="358" stopIfTrue="1" operator="greaterThanOrEqual">
      <formula>0.05</formula>
    </cfRule>
  </conditionalFormatting>
  <conditionalFormatting sqref="E360">
    <cfRule type="cellIs" dxfId="645" priority="359" stopIfTrue="1" operator="greaterThanOrEqual">
      <formula>0.05</formula>
    </cfRule>
  </conditionalFormatting>
  <conditionalFormatting sqref="E361">
    <cfRule type="cellIs" dxfId="644" priority="360" stopIfTrue="1" operator="greaterThanOrEqual">
      <formula>0.05</formula>
    </cfRule>
  </conditionalFormatting>
  <conditionalFormatting sqref="E362">
    <cfRule type="cellIs" dxfId="643" priority="361" stopIfTrue="1" operator="greaterThanOrEqual">
      <formula>0.05</formula>
    </cfRule>
  </conditionalFormatting>
  <conditionalFormatting sqref="E363">
    <cfRule type="cellIs" dxfId="642" priority="362" stopIfTrue="1" operator="greaterThanOrEqual">
      <formula>0.05</formula>
    </cfRule>
  </conditionalFormatting>
  <conditionalFormatting sqref="E364">
    <cfRule type="cellIs" dxfId="641" priority="363" stopIfTrue="1" operator="greaterThanOrEqual">
      <formula>0.05</formula>
    </cfRule>
  </conditionalFormatting>
  <conditionalFormatting sqref="E365">
    <cfRule type="cellIs" dxfId="640" priority="364" stopIfTrue="1" operator="greaterThanOrEqual">
      <formula>0.05</formula>
    </cfRule>
  </conditionalFormatting>
  <conditionalFormatting sqref="E366">
    <cfRule type="cellIs" dxfId="639" priority="365" stopIfTrue="1" operator="greaterThanOrEqual">
      <formula>0.05</formula>
    </cfRule>
  </conditionalFormatting>
  <conditionalFormatting sqref="E367">
    <cfRule type="cellIs" dxfId="638" priority="366" stopIfTrue="1" operator="greaterThanOrEqual">
      <formula>0.05</formula>
    </cfRule>
  </conditionalFormatting>
  <conditionalFormatting sqref="E368">
    <cfRule type="cellIs" dxfId="637" priority="367" stopIfTrue="1" operator="greaterThanOrEqual">
      <formula>0.05</formula>
    </cfRule>
  </conditionalFormatting>
  <conditionalFormatting sqref="E369">
    <cfRule type="cellIs" dxfId="636" priority="368" stopIfTrue="1" operator="greaterThanOrEqual">
      <formula>0.05</formula>
    </cfRule>
  </conditionalFormatting>
  <conditionalFormatting sqref="E370">
    <cfRule type="cellIs" dxfId="635" priority="369" stopIfTrue="1" operator="greaterThanOrEqual">
      <formula>0.05</formula>
    </cfRule>
  </conditionalFormatting>
  <conditionalFormatting sqref="E371">
    <cfRule type="cellIs" dxfId="634" priority="370" stopIfTrue="1" operator="greaterThanOrEqual">
      <formula>0.05</formula>
    </cfRule>
  </conditionalFormatting>
  <conditionalFormatting sqref="E372">
    <cfRule type="cellIs" dxfId="633" priority="371" stopIfTrue="1" operator="greaterThanOrEqual">
      <formula>0.05</formula>
    </cfRule>
  </conditionalFormatting>
  <conditionalFormatting sqref="E373">
    <cfRule type="cellIs" dxfId="632" priority="372" stopIfTrue="1" operator="greaterThanOrEqual">
      <formula>0.05</formula>
    </cfRule>
  </conditionalFormatting>
  <conditionalFormatting sqref="E374">
    <cfRule type="cellIs" dxfId="631" priority="373" stopIfTrue="1" operator="greaterThanOrEqual">
      <formula>0.05</formula>
    </cfRule>
  </conditionalFormatting>
  <conditionalFormatting sqref="E375">
    <cfRule type="cellIs" dxfId="630" priority="374" stopIfTrue="1" operator="greaterThanOrEqual">
      <formula>0.05</formula>
    </cfRule>
  </conditionalFormatting>
  <conditionalFormatting sqref="E376">
    <cfRule type="cellIs" dxfId="629" priority="375" stopIfTrue="1" operator="greaterThanOrEqual">
      <formula>0.05</formula>
    </cfRule>
  </conditionalFormatting>
  <conditionalFormatting sqref="E377">
    <cfRule type="cellIs" dxfId="628" priority="376" stopIfTrue="1" operator="greaterThanOrEqual">
      <formula>0.05</formula>
    </cfRule>
  </conditionalFormatting>
  <conditionalFormatting sqref="E378">
    <cfRule type="cellIs" dxfId="627" priority="377" stopIfTrue="1" operator="greaterThanOrEqual">
      <formula>0.05</formula>
    </cfRule>
  </conditionalFormatting>
  <conditionalFormatting sqref="E379">
    <cfRule type="cellIs" dxfId="626" priority="378" stopIfTrue="1" operator="greaterThanOrEqual">
      <formula>0.05</formula>
    </cfRule>
  </conditionalFormatting>
  <conditionalFormatting sqref="E380">
    <cfRule type="cellIs" dxfId="625" priority="379" stopIfTrue="1" operator="greaterThanOrEqual">
      <formula>0.05</formula>
    </cfRule>
  </conditionalFormatting>
  <conditionalFormatting sqref="E381">
    <cfRule type="cellIs" dxfId="624" priority="380" stopIfTrue="1" operator="greaterThanOrEqual">
      <formula>0.05</formula>
    </cfRule>
  </conditionalFormatting>
  <conditionalFormatting sqref="E382">
    <cfRule type="cellIs" dxfId="623" priority="381" stopIfTrue="1" operator="greaterThanOrEqual">
      <formula>0.05</formula>
    </cfRule>
  </conditionalFormatting>
  <conditionalFormatting sqref="E383">
    <cfRule type="cellIs" dxfId="622" priority="382" stopIfTrue="1" operator="greaterThanOrEqual">
      <formula>0.05</formula>
    </cfRule>
  </conditionalFormatting>
  <conditionalFormatting sqref="E384">
    <cfRule type="cellIs" dxfId="621" priority="383" stopIfTrue="1" operator="greaterThanOrEqual">
      <formula>0.05</formula>
    </cfRule>
  </conditionalFormatting>
  <conditionalFormatting sqref="E385">
    <cfRule type="cellIs" dxfId="620" priority="384" stopIfTrue="1" operator="greaterThanOrEqual">
      <formula>0.05</formula>
    </cfRule>
  </conditionalFormatting>
  <conditionalFormatting sqref="E386">
    <cfRule type="cellIs" dxfId="619" priority="385" stopIfTrue="1" operator="greaterThanOrEqual">
      <formula>0.05</formula>
    </cfRule>
  </conditionalFormatting>
  <conditionalFormatting sqref="E387">
    <cfRule type="cellIs" dxfId="618" priority="386" stopIfTrue="1" operator="greaterThanOrEqual">
      <formula>0.05</formula>
    </cfRule>
  </conditionalFormatting>
  <conditionalFormatting sqref="E388">
    <cfRule type="cellIs" dxfId="617" priority="387" stopIfTrue="1" operator="greaterThanOrEqual">
      <formula>0.05</formula>
    </cfRule>
  </conditionalFormatting>
  <conditionalFormatting sqref="E389">
    <cfRule type="cellIs" dxfId="616" priority="388" stopIfTrue="1" operator="greaterThanOrEqual">
      <formula>0.05</formula>
    </cfRule>
  </conditionalFormatting>
  <conditionalFormatting sqref="E390">
    <cfRule type="cellIs" dxfId="615" priority="389" stopIfTrue="1" operator="greaterThanOrEqual">
      <formula>0.05</formula>
    </cfRule>
  </conditionalFormatting>
  <conditionalFormatting sqref="E391">
    <cfRule type="cellIs" dxfId="614" priority="390" stopIfTrue="1" operator="greaterThanOrEqual">
      <formula>0.05</formula>
    </cfRule>
  </conditionalFormatting>
  <conditionalFormatting sqref="E392">
    <cfRule type="cellIs" dxfId="613" priority="391" stopIfTrue="1" operator="greaterThanOrEqual">
      <formula>0.05</formula>
    </cfRule>
  </conditionalFormatting>
  <conditionalFormatting sqref="E393">
    <cfRule type="cellIs" dxfId="612" priority="392" stopIfTrue="1" operator="greaterThanOrEqual">
      <formula>0.05</formula>
    </cfRule>
  </conditionalFormatting>
  <conditionalFormatting sqref="E394">
    <cfRule type="cellIs" dxfId="611" priority="393" stopIfTrue="1" operator="greaterThanOrEqual">
      <formula>0.05</formula>
    </cfRule>
  </conditionalFormatting>
  <conditionalFormatting sqref="E395">
    <cfRule type="cellIs" dxfId="610" priority="394" stopIfTrue="1" operator="greaterThanOrEqual">
      <formula>0.05</formula>
    </cfRule>
  </conditionalFormatting>
  <conditionalFormatting sqref="E396">
    <cfRule type="cellIs" dxfId="609" priority="395" stopIfTrue="1" operator="greaterThanOrEqual">
      <formula>0.05</formula>
    </cfRule>
  </conditionalFormatting>
  <conditionalFormatting sqref="E397">
    <cfRule type="cellIs" dxfId="608" priority="396" stopIfTrue="1" operator="greaterThanOrEqual">
      <formula>0.05</formula>
    </cfRule>
  </conditionalFormatting>
  <conditionalFormatting sqref="E398">
    <cfRule type="cellIs" dxfId="607" priority="397" stopIfTrue="1" operator="greaterThanOrEqual">
      <formula>0.05</formula>
    </cfRule>
  </conditionalFormatting>
  <conditionalFormatting sqref="E399">
    <cfRule type="cellIs" dxfId="606" priority="398" stopIfTrue="1" operator="greaterThanOrEqual">
      <formula>0.05</formula>
    </cfRule>
  </conditionalFormatting>
  <conditionalFormatting sqref="E400">
    <cfRule type="cellIs" dxfId="605" priority="399" stopIfTrue="1" operator="greaterThanOrEqual">
      <formula>0.05</formula>
    </cfRule>
  </conditionalFormatting>
  <conditionalFormatting sqref="E401">
    <cfRule type="cellIs" dxfId="604" priority="400" stopIfTrue="1" operator="greaterThanOrEqual">
      <formula>0.05</formula>
    </cfRule>
  </conditionalFormatting>
  <conditionalFormatting sqref="E402">
    <cfRule type="cellIs" dxfId="603" priority="401" stopIfTrue="1" operator="greaterThanOrEqual">
      <formula>0.05</formula>
    </cfRule>
  </conditionalFormatting>
  <conditionalFormatting sqref="E403">
    <cfRule type="cellIs" dxfId="602" priority="402" stopIfTrue="1" operator="greaterThanOrEqual">
      <formula>0.05</formula>
    </cfRule>
  </conditionalFormatting>
  <conditionalFormatting sqref="E404">
    <cfRule type="cellIs" dxfId="601" priority="403" stopIfTrue="1" operator="greaterThanOrEqual">
      <formula>0.05</formula>
    </cfRule>
  </conditionalFormatting>
  <conditionalFormatting sqref="E405">
    <cfRule type="cellIs" dxfId="600" priority="404" stopIfTrue="1" operator="greaterThanOrEqual">
      <formula>0.05</formula>
    </cfRule>
  </conditionalFormatting>
  <conditionalFormatting sqref="E406">
    <cfRule type="cellIs" dxfId="599" priority="405" stopIfTrue="1" operator="greaterThanOrEqual">
      <formula>0.05</formula>
    </cfRule>
  </conditionalFormatting>
  <conditionalFormatting sqref="E407">
    <cfRule type="cellIs" dxfId="598" priority="406" stopIfTrue="1" operator="greaterThanOrEqual">
      <formula>0.05</formula>
    </cfRule>
  </conditionalFormatting>
  <conditionalFormatting sqref="E408">
    <cfRule type="cellIs" dxfId="597" priority="407" stopIfTrue="1" operator="greaterThanOrEqual">
      <formula>0.05</formula>
    </cfRule>
  </conditionalFormatting>
  <conditionalFormatting sqref="E409">
    <cfRule type="cellIs" dxfId="596" priority="408" stopIfTrue="1" operator="greaterThanOrEqual">
      <formula>0.05</formula>
    </cfRule>
  </conditionalFormatting>
  <conditionalFormatting sqref="E410">
    <cfRule type="cellIs" dxfId="595" priority="409" stopIfTrue="1" operator="greaterThanOrEqual">
      <formula>0.05</formula>
    </cfRule>
  </conditionalFormatting>
  <conditionalFormatting sqref="E411">
    <cfRule type="cellIs" dxfId="594" priority="410" stopIfTrue="1" operator="greaterThanOrEqual">
      <formula>0.05</formula>
    </cfRule>
  </conditionalFormatting>
  <conditionalFormatting sqref="E412">
    <cfRule type="cellIs" dxfId="593" priority="411" stopIfTrue="1" operator="greaterThanOrEqual">
      <formula>0.05</formula>
    </cfRule>
  </conditionalFormatting>
  <conditionalFormatting sqref="E413">
    <cfRule type="cellIs" dxfId="592" priority="412" stopIfTrue="1" operator="greaterThanOrEqual">
      <formula>0.05</formula>
    </cfRule>
  </conditionalFormatting>
  <conditionalFormatting sqref="E414">
    <cfRule type="cellIs" dxfId="591" priority="413" stopIfTrue="1" operator="greaterThanOrEqual">
      <formula>0.05</formula>
    </cfRule>
  </conditionalFormatting>
  <conditionalFormatting sqref="E415">
    <cfRule type="cellIs" dxfId="590" priority="414" stopIfTrue="1" operator="greaterThanOrEqual">
      <formula>0.05</formula>
    </cfRule>
  </conditionalFormatting>
  <conditionalFormatting sqref="E416">
    <cfRule type="cellIs" dxfId="589" priority="415" stopIfTrue="1" operator="greaterThanOrEqual">
      <formula>0.05</formula>
    </cfRule>
  </conditionalFormatting>
  <conditionalFormatting sqref="E417">
    <cfRule type="cellIs" dxfId="588" priority="416" stopIfTrue="1" operator="greaterThanOrEqual">
      <formula>0.05</formula>
    </cfRule>
  </conditionalFormatting>
  <conditionalFormatting sqref="E418">
    <cfRule type="cellIs" dxfId="587" priority="417" stopIfTrue="1" operator="greaterThanOrEqual">
      <formula>0.05</formula>
    </cfRule>
  </conditionalFormatting>
  <conditionalFormatting sqref="E419">
    <cfRule type="cellIs" dxfId="586" priority="418" stopIfTrue="1" operator="greaterThanOrEqual">
      <formula>0.05</formula>
    </cfRule>
  </conditionalFormatting>
  <conditionalFormatting sqref="E420">
    <cfRule type="cellIs" dxfId="585" priority="419" stopIfTrue="1" operator="greaterThanOrEqual">
      <formula>0.05</formula>
    </cfRule>
  </conditionalFormatting>
  <conditionalFormatting sqref="E421">
    <cfRule type="cellIs" dxfId="584" priority="420" stopIfTrue="1" operator="greaterThanOrEqual">
      <formula>0.05</formula>
    </cfRule>
  </conditionalFormatting>
  <conditionalFormatting sqref="E422">
    <cfRule type="cellIs" dxfId="583" priority="421" stopIfTrue="1" operator="greaterThanOrEqual">
      <formula>0.05</formula>
    </cfRule>
  </conditionalFormatting>
  <conditionalFormatting sqref="E423">
    <cfRule type="cellIs" dxfId="582" priority="422" stopIfTrue="1" operator="greaterThanOrEqual">
      <formula>0.05</formula>
    </cfRule>
  </conditionalFormatting>
  <conditionalFormatting sqref="E424">
    <cfRule type="cellIs" dxfId="581" priority="423" stopIfTrue="1" operator="greaterThanOrEqual">
      <formula>0.05</formula>
    </cfRule>
  </conditionalFormatting>
  <conditionalFormatting sqref="E425">
    <cfRule type="cellIs" dxfId="580" priority="424" stopIfTrue="1" operator="greaterThanOrEqual">
      <formula>0.05</formula>
    </cfRule>
  </conditionalFormatting>
  <conditionalFormatting sqref="E426">
    <cfRule type="cellIs" dxfId="579" priority="425" stopIfTrue="1" operator="greaterThanOrEqual">
      <formula>0.05</formula>
    </cfRule>
  </conditionalFormatting>
  <conditionalFormatting sqref="E427">
    <cfRule type="cellIs" dxfId="578" priority="426" stopIfTrue="1" operator="greaterThanOrEqual">
      <formula>0.05</formula>
    </cfRule>
  </conditionalFormatting>
  <conditionalFormatting sqref="E428">
    <cfRule type="cellIs" dxfId="577" priority="427" stopIfTrue="1" operator="greaterThanOrEqual">
      <formula>0.05</formula>
    </cfRule>
  </conditionalFormatting>
  <conditionalFormatting sqref="E429">
    <cfRule type="cellIs" dxfId="576" priority="428" stopIfTrue="1" operator="greaterThanOrEqual">
      <formula>0.05</formula>
    </cfRule>
  </conditionalFormatting>
  <conditionalFormatting sqref="E430">
    <cfRule type="cellIs" dxfId="575" priority="429" stopIfTrue="1" operator="greaterThanOrEqual">
      <formula>0.05</formula>
    </cfRule>
  </conditionalFormatting>
  <conditionalFormatting sqref="E431">
    <cfRule type="cellIs" dxfId="574" priority="430" stopIfTrue="1" operator="greaterThanOrEqual">
      <formula>0.05</formula>
    </cfRule>
  </conditionalFormatting>
  <conditionalFormatting sqref="E432">
    <cfRule type="cellIs" dxfId="573" priority="431" stopIfTrue="1" operator="greaterThanOrEqual">
      <formula>0.05</formula>
    </cfRule>
  </conditionalFormatting>
  <conditionalFormatting sqref="E433">
    <cfRule type="cellIs" dxfId="572" priority="432" stopIfTrue="1" operator="greaterThanOrEqual">
      <formula>0.05</formula>
    </cfRule>
  </conditionalFormatting>
  <conditionalFormatting sqref="E434">
    <cfRule type="cellIs" dxfId="571" priority="433" stopIfTrue="1" operator="greaterThanOrEqual">
      <formula>0.05</formula>
    </cfRule>
  </conditionalFormatting>
  <conditionalFormatting sqref="E435">
    <cfRule type="cellIs" dxfId="570" priority="434" stopIfTrue="1" operator="greaterThanOrEqual">
      <formula>0.05</formula>
    </cfRule>
  </conditionalFormatting>
  <conditionalFormatting sqref="E436">
    <cfRule type="cellIs" dxfId="569" priority="435" stopIfTrue="1" operator="greaterThanOrEqual">
      <formula>0.05</formula>
    </cfRule>
  </conditionalFormatting>
  <conditionalFormatting sqref="E437">
    <cfRule type="cellIs" dxfId="568" priority="436" stopIfTrue="1" operator="greaterThanOrEqual">
      <formula>0.05</formula>
    </cfRule>
  </conditionalFormatting>
  <conditionalFormatting sqref="E438">
    <cfRule type="cellIs" dxfId="567" priority="437" stopIfTrue="1" operator="greaterThanOrEqual">
      <formula>0.05</formula>
    </cfRule>
  </conditionalFormatting>
  <conditionalFormatting sqref="E439">
    <cfRule type="cellIs" dxfId="566" priority="438" stopIfTrue="1" operator="greaterThanOrEqual">
      <formula>0.05</formula>
    </cfRule>
  </conditionalFormatting>
  <conditionalFormatting sqref="E440">
    <cfRule type="cellIs" dxfId="565" priority="439" stopIfTrue="1" operator="greaterThanOrEqual">
      <formula>0.05</formula>
    </cfRule>
  </conditionalFormatting>
  <conditionalFormatting sqref="E441">
    <cfRule type="cellIs" dxfId="564" priority="440" stopIfTrue="1" operator="greaterThanOrEqual">
      <formula>0.05</formula>
    </cfRule>
  </conditionalFormatting>
  <conditionalFormatting sqref="E442">
    <cfRule type="cellIs" dxfId="563" priority="441" stopIfTrue="1" operator="greaterThanOrEqual">
      <formula>0.05</formula>
    </cfRule>
  </conditionalFormatting>
  <conditionalFormatting sqref="E443">
    <cfRule type="cellIs" dxfId="562" priority="442" stopIfTrue="1" operator="greaterThanOrEqual">
      <formula>0.05</formula>
    </cfRule>
  </conditionalFormatting>
  <conditionalFormatting sqref="E444">
    <cfRule type="cellIs" dxfId="561" priority="443" stopIfTrue="1" operator="greaterThanOrEqual">
      <formula>0.05</formula>
    </cfRule>
  </conditionalFormatting>
  <conditionalFormatting sqref="E445">
    <cfRule type="cellIs" dxfId="560" priority="444" stopIfTrue="1" operator="greaterThanOrEqual">
      <formula>0.05</formula>
    </cfRule>
  </conditionalFormatting>
  <conditionalFormatting sqref="E446">
    <cfRule type="cellIs" dxfId="559" priority="445" stopIfTrue="1" operator="greaterThanOrEqual">
      <formula>0.05</formula>
    </cfRule>
  </conditionalFormatting>
  <conditionalFormatting sqref="E447">
    <cfRule type="cellIs" dxfId="558" priority="446" stopIfTrue="1" operator="greaterThanOrEqual">
      <formula>0.05</formula>
    </cfRule>
  </conditionalFormatting>
  <conditionalFormatting sqref="E448">
    <cfRule type="cellIs" dxfId="557" priority="447" stopIfTrue="1" operator="greaterThanOrEqual">
      <formula>0.05</formula>
    </cfRule>
  </conditionalFormatting>
  <conditionalFormatting sqref="E449">
    <cfRule type="cellIs" dxfId="556" priority="448" stopIfTrue="1" operator="greaterThanOrEqual">
      <formula>0.05</formula>
    </cfRule>
  </conditionalFormatting>
  <conditionalFormatting sqref="E450">
    <cfRule type="cellIs" dxfId="555" priority="449" stopIfTrue="1" operator="greaterThanOrEqual">
      <formula>0.05</formula>
    </cfRule>
  </conditionalFormatting>
  <conditionalFormatting sqref="E451">
    <cfRule type="cellIs" dxfId="554" priority="450" stopIfTrue="1" operator="greaterThanOrEqual">
      <formula>0.05</formula>
    </cfRule>
  </conditionalFormatting>
  <conditionalFormatting sqref="E452">
    <cfRule type="cellIs" dxfId="553" priority="451" stopIfTrue="1" operator="greaterThanOrEqual">
      <formula>0.05</formula>
    </cfRule>
  </conditionalFormatting>
  <conditionalFormatting sqref="E453">
    <cfRule type="cellIs" dxfId="552" priority="452" stopIfTrue="1" operator="greaterThanOrEqual">
      <formula>0.05</formula>
    </cfRule>
  </conditionalFormatting>
  <conditionalFormatting sqref="E454">
    <cfRule type="cellIs" dxfId="551" priority="453" stopIfTrue="1" operator="greaterThanOrEqual">
      <formula>0.05</formula>
    </cfRule>
  </conditionalFormatting>
  <conditionalFormatting sqref="E455">
    <cfRule type="cellIs" dxfId="550" priority="454" stopIfTrue="1" operator="greaterThanOrEqual">
      <formula>0.05</formula>
    </cfRule>
  </conditionalFormatting>
  <conditionalFormatting sqref="E456">
    <cfRule type="cellIs" dxfId="549" priority="455" stopIfTrue="1" operator="greaterThanOrEqual">
      <formula>0.05</formula>
    </cfRule>
  </conditionalFormatting>
  <conditionalFormatting sqref="E457">
    <cfRule type="cellIs" dxfId="548" priority="456" stopIfTrue="1" operator="greaterThanOrEqual">
      <formula>0.05</formula>
    </cfRule>
  </conditionalFormatting>
  <conditionalFormatting sqref="E458">
    <cfRule type="cellIs" dxfId="547" priority="457" stopIfTrue="1" operator="greaterThanOrEqual">
      <formula>0.05</formula>
    </cfRule>
  </conditionalFormatting>
  <conditionalFormatting sqref="E459">
    <cfRule type="cellIs" dxfId="546" priority="458" stopIfTrue="1" operator="greaterThanOrEqual">
      <formula>0.05</formula>
    </cfRule>
  </conditionalFormatting>
  <conditionalFormatting sqref="E460">
    <cfRule type="cellIs" dxfId="545" priority="459" stopIfTrue="1" operator="greaterThanOrEqual">
      <formula>0.05</formula>
    </cfRule>
  </conditionalFormatting>
  <conditionalFormatting sqref="E461">
    <cfRule type="cellIs" dxfId="544" priority="460" stopIfTrue="1" operator="greaterThanOrEqual">
      <formula>0.05</formula>
    </cfRule>
  </conditionalFormatting>
  <conditionalFormatting sqref="E462">
    <cfRule type="cellIs" dxfId="543" priority="461" stopIfTrue="1" operator="greaterThanOrEqual">
      <formula>0.05</formula>
    </cfRule>
  </conditionalFormatting>
  <conditionalFormatting sqref="E463">
    <cfRule type="cellIs" dxfId="542" priority="462" stopIfTrue="1" operator="greaterThanOrEqual">
      <formula>0.05</formula>
    </cfRule>
  </conditionalFormatting>
  <conditionalFormatting sqref="E464">
    <cfRule type="cellIs" dxfId="541" priority="463" stopIfTrue="1" operator="greaterThanOrEqual">
      <formula>0.05</formula>
    </cfRule>
  </conditionalFormatting>
  <conditionalFormatting sqref="E465">
    <cfRule type="cellIs" dxfId="540" priority="464" stopIfTrue="1" operator="greaterThanOrEqual">
      <formula>0.05</formula>
    </cfRule>
  </conditionalFormatting>
  <conditionalFormatting sqref="E466">
    <cfRule type="cellIs" dxfId="539" priority="465" stopIfTrue="1" operator="greaterThanOrEqual">
      <formula>0.05</formula>
    </cfRule>
  </conditionalFormatting>
  <conditionalFormatting sqref="E467">
    <cfRule type="cellIs" dxfId="538" priority="466" stopIfTrue="1" operator="greaterThanOrEqual">
      <formula>0.05</formula>
    </cfRule>
  </conditionalFormatting>
  <conditionalFormatting sqref="E468">
    <cfRule type="cellIs" dxfId="537" priority="467" stopIfTrue="1" operator="greaterThanOrEqual">
      <formula>0.05</formula>
    </cfRule>
  </conditionalFormatting>
  <conditionalFormatting sqref="E469">
    <cfRule type="cellIs" dxfId="536" priority="468" stopIfTrue="1" operator="greaterThanOrEqual">
      <formula>0.05</formula>
    </cfRule>
  </conditionalFormatting>
  <conditionalFormatting sqref="E470">
    <cfRule type="cellIs" dxfId="535" priority="469" stopIfTrue="1" operator="greaterThanOrEqual">
      <formula>0.05</formula>
    </cfRule>
  </conditionalFormatting>
  <conditionalFormatting sqref="E471">
    <cfRule type="cellIs" dxfId="534" priority="470" stopIfTrue="1" operator="greaterThanOrEqual">
      <formula>0.05</formula>
    </cfRule>
  </conditionalFormatting>
  <conditionalFormatting sqref="E472">
    <cfRule type="cellIs" dxfId="533" priority="471" stopIfTrue="1" operator="greaterThanOrEqual">
      <formula>0.05</formula>
    </cfRule>
  </conditionalFormatting>
  <conditionalFormatting sqref="E473">
    <cfRule type="cellIs" dxfId="532" priority="472" stopIfTrue="1" operator="greaterThanOrEqual">
      <formula>0.05</formula>
    </cfRule>
  </conditionalFormatting>
  <conditionalFormatting sqref="E474">
    <cfRule type="cellIs" dxfId="531" priority="473" stopIfTrue="1" operator="greaterThanOrEqual">
      <formula>0.05</formula>
    </cfRule>
  </conditionalFormatting>
  <conditionalFormatting sqref="E475">
    <cfRule type="cellIs" dxfId="530" priority="474" stopIfTrue="1" operator="greaterThanOrEqual">
      <formula>0.05</formula>
    </cfRule>
  </conditionalFormatting>
  <conditionalFormatting sqref="E476">
    <cfRule type="cellIs" dxfId="529" priority="475" stopIfTrue="1" operator="greaterThanOrEqual">
      <formula>0.05</formula>
    </cfRule>
  </conditionalFormatting>
  <conditionalFormatting sqref="E477">
    <cfRule type="cellIs" dxfId="528" priority="476" stopIfTrue="1" operator="greaterThanOrEqual">
      <formula>0.05</formula>
    </cfRule>
  </conditionalFormatting>
  <conditionalFormatting sqref="E478">
    <cfRule type="cellIs" dxfId="527" priority="477" stopIfTrue="1" operator="greaterThanOrEqual">
      <formula>0.05</formula>
    </cfRule>
  </conditionalFormatting>
  <conditionalFormatting sqref="E479">
    <cfRule type="cellIs" dxfId="526" priority="478" stopIfTrue="1" operator="greaterThanOrEqual">
      <formula>0.05</formula>
    </cfRule>
  </conditionalFormatting>
  <conditionalFormatting sqref="E480">
    <cfRule type="cellIs" dxfId="525" priority="479" stopIfTrue="1" operator="greaterThanOrEqual">
      <formula>0.05</formula>
    </cfRule>
  </conditionalFormatting>
  <conditionalFormatting sqref="E481">
    <cfRule type="cellIs" dxfId="524" priority="480" stopIfTrue="1" operator="greaterThanOrEqual">
      <formula>0.05</formula>
    </cfRule>
  </conditionalFormatting>
  <conditionalFormatting sqref="E482">
    <cfRule type="cellIs" dxfId="523" priority="481" stopIfTrue="1" operator="greaterThanOrEqual">
      <formula>0.05</formula>
    </cfRule>
  </conditionalFormatting>
  <conditionalFormatting sqref="E483">
    <cfRule type="cellIs" dxfId="522" priority="482" stopIfTrue="1" operator="greaterThanOrEqual">
      <formula>0.05</formula>
    </cfRule>
  </conditionalFormatting>
  <conditionalFormatting sqref="E484">
    <cfRule type="cellIs" dxfId="521" priority="483" stopIfTrue="1" operator="greaterThanOrEqual">
      <formula>0.05</formula>
    </cfRule>
  </conditionalFormatting>
  <conditionalFormatting sqref="E485">
    <cfRule type="cellIs" dxfId="520" priority="484" stopIfTrue="1" operator="greaterThanOrEqual">
      <formula>0.05</formula>
    </cfRule>
  </conditionalFormatting>
  <conditionalFormatting sqref="E486">
    <cfRule type="cellIs" dxfId="519" priority="485" stopIfTrue="1" operator="greaterThanOrEqual">
      <formula>0.05</formula>
    </cfRule>
  </conditionalFormatting>
  <conditionalFormatting sqref="E487">
    <cfRule type="cellIs" dxfId="518" priority="486" stopIfTrue="1" operator="greaterThanOrEqual">
      <formula>0.05</formula>
    </cfRule>
  </conditionalFormatting>
  <conditionalFormatting sqref="E488">
    <cfRule type="cellIs" dxfId="517" priority="487" stopIfTrue="1" operator="greaterThanOrEqual">
      <formula>0.05</formula>
    </cfRule>
  </conditionalFormatting>
  <conditionalFormatting sqref="E489">
    <cfRule type="cellIs" dxfId="516" priority="488" stopIfTrue="1" operator="greaterThanOrEqual">
      <formula>0.05</formula>
    </cfRule>
  </conditionalFormatting>
  <conditionalFormatting sqref="E490">
    <cfRule type="cellIs" dxfId="515" priority="489" stopIfTrue="1" operator="greaterThanOrEqual">
      <formula>0.05</formula>
    </cfRule>
  </conditionalFormatting>
  <conditionalFormatting sqref="E491">
    <cfRule type="cellIs" dxfId="514" priority="490" stopIfTrue="1" operator="greaterThanOrEqual">
      <formula>0.05</formula>
    </cfRule>
  </conditionalFormatting>
  <conditionalFormatting sqref="E492">
    <cfRule type="cellIs" dxfId="513" priority="491" stopIfTrue="1" operator="greaterThanOrEqual">
      <formula>0.05</formula>
    </cfRule>
  </conditionalFormatting>
  <conditionalFormatting sqref="E493">
    <cfRule type="cellIs" dxfId="512" priority="492" stopIfTrue="1" operator="greaterThanOrEqual">
      <formula>0.05</formula>
    </cfRule>
  </conditionalFormatting>
  <conditionalFormatting sqref="E494">
    <cfRule type="cellIs" dxfId="511" priority="493" stopIfTrue="1" operator="greaterThanOrEqual">
      <formula>0.05</formula>
    </cfRule>
  </conditionalFormatting>
  <conditionalFormatting sqref="E495">
    <cfRule type="cellIs" dxfId="510" priority="494" stopIfTrue="1" operator="greaterThanOrEqual">
      <formula>0.05</formula>
    </cfRule>
  </conditionalFormatting>
  <conditionalFormatting sqref="E496">
    <cfRule type="cellIs" dxfId="509" priority="495" stopIfTrue="1" operator="greaterThanOrEqual">
      <formula>0.05</formula>
    </cfRule>
  </conditionalFormatting>
  <conditionalFormatting sqref="E497">
    <cfRule type="cellIs" dxfId="508" priority="496" stopIfTrue="1" operator="greaterThanOrEqual">
      <formula>0.05</formula>
    </cfRule>
  </conditionalFormatting>
  <conditionalFormatting sqref="E498">
    <cfRule type="cellIs" dxfId="507" priority="497" stopIfTrue="1" operator="greaterThanOrEqual">
      <formula>0.05</formula>
    </cfRule>
  </conditionalFormatting>
  <conditionalFormatting sqref="E499">
    <cfRule type="cellIs" dxfId="506" priority="498" stopIfTrue="1" operator="greaterThanOrEqual">
      <formula>0.05</formula>
    </cfRule>
  </conditionalFormatting>
  <conditionalFormatting sqref="E500">
    <cfRule type="cellIs" dxfId="505" priority="499" stopIfTrue="1" operator="greaterThanOrEqual">
      <formula>0.05</formula>
    </cfRule>
  </conditionalFormatting>
  <conditionalFormatting sqref="E501">
    <cfRule type="cellIs" dxfId="504" priority="500" stopIfTrue="1" operator="greaterThanOrEqual">
      <formula>0.05</formula>
    </cfRule>
  </conditionalFormatting>
  <conditionalFormatting sqref="E502">
    <cfRule type="cellIs" dxfId="503" priority="501" stopIfTrue="1" operator="greaterThanOrEqual">
      <formula>0.05</formula>
    </cfRule>
  </conditionalFormatting>
  <conditionalFormatting sqref="E503">
    <cfRule type="cellIs" dxfId="502" priority="502" stopIfTrue="1" operator="greaterThanOrEqual">
      <formula>0.05</formula>
    </cfRule>
  </conditionalFormatting>
  <conditionalFormatting sqref="E504">
    <cfRule type="cellIs" dxfId="501" priority="503" stopIfTrue="1" operator="greaterThanOrEqual">
      <formula>0.05</formula>
    </cfRule>
  </conditionalFormatting>
  <conditionalFormatting sqref="E505">
    <cfRule type="cellIs" dxfId="500" priority="504" stopIfTrue="1" operator="greaterThanOrEqual">
      <formula>0.05</formula>
    </cfRule>
  </conditionalFormatting>
  <conditionalFormatting sqref="E506">
    <cfRule type="cellIs" dxfId="499" priority="505" stopIfTrue="1" operator="greaterThanOrEqual">
      <formula>0.05</formula>
    </cfRule>
  </conditionalFormatting>
  <conditionalFormatting sqref="E507">
    <cfRule type="cellIs" dxfId="498" priority="506" stopIfTrue="1" operator="greaterThanOrEqual">
      <formula>0.05</formula>
    </cfRule>
  </conditionalFormatting>
  <conditionalFormatting sqref="E508">
    <cfRule type="cellIs" dxfId="497" priority="507" stopIfTrue="1" operator="greaterThanOrEqual">
      <formula>0.05</formula>
    </cfRule>
  </conditionalFormatting>
  <conditionalFormatting sqref="E509">
    <cfRule type="cellIs" dxfId="496" priority="508" stopIfTrue="1" operator="greaterThanOrEqual">
      <formula>0.05</formula>
    </cfRule>
  </conditionalFormatting>
  <conditionalFormatting sqref="E510">
    <cfRule type="cellIs" dxfId="495" priority="509" stopIfTrue="1" operator="greaterThanOrEqual">
      <formula>0.05</formula>
    </cfRule>
  </conditionalFormatting>
  <conditionalFormatting sqref="E511">
    <cfRule type="cellIs" dxfId="494" priority="510" stopIfTrue="1" operator="greaterThanOrEqual">
      <formula>0.05</formula>
    </cfRule>
  </conditionalFormatting>
  <conditionalFormatting sqref="E512">
    <cfRule type="cellIs" dxfId="493" priority="511" stopIfTrue="1" operator="greaterThanOrEqual">
      <formula>0.05</formula>
    </cfRule>
  </conditionalFormatting>
  <conditionalFormatting sqref="E513">
    <cfRule type="cellIs" dxfId="492" priority="512" stopIfTrue="1" operator="greaterThanOrEqual">
      <formula>0.05</formula>
    </cfRule>
  </conditionalFormatting>
  <conditionalFormatting sqref="E514">
    <cfRule type="cellIs" dxfId="491" priority="513" stopIfTrue="1" operator="greaterThanOrEqual">
      <formula>0.05</formula>
    </cfRule>
  </conditionalFormatting>
  <conditionalFormatting sqref="E515">
    <cfRule type="cellIs" dxfId="490" priority="514" stopIfTrue="1" operator="greaterThanOrEqual">
      <formula>0.05</formula>
    </cfRule>
  </conditionalFormatting>
  <conditionalFormatting sqref="E516">
    <cfRule type="cellIs" dxfId="489" priority="515" stopIfTrue="1" operator="greaterThanOrEqual">
      <formula>0.05</formula>
    </cfRule>
  </conditionalFormatting>
  <conditionalFormatting sqref="E517">
    <cfRule type="cellIs" dxfId="488" priority="516" stopIfTrue="1" operator="greaterThanOrEqual">
      <formula>0.05</formula>
    </cfRule>
  </conditionalFormatting>
  <conditionalFormatting sqref="E518">
    <cfRule type="cellIs" dxfId="487" priority="517" stopIfTrue="1" operator="greaterThanOrEqual">
      <formula>0.05</formula>
    </cfRule>
  </conditionalFormatting>
  <conditionalFormatting sqref="E519">
    <cfRule type="cellIs" dxfId="486" priority="518" stopIfTrue="1" operator="greaterThanOrEqual">
      <formula>0.05</formula>
    </cfRule>
  </conditionalFormatting>
  <conditionalFormatting sqref="E520">
    <cfRule type="cellIs" dxfId="485" priority="519" stopIfTrue="1" operator="greaterThanOrEqual">
      <formula>0.05</formula>
    </cfRule>
  </conditionalFormatting>
  <conditionalFormatting sqref="E521">
    <cfRule type="cellIs" dxfId="484" priority="520" stopIfTrue="1" operator="greaterThanOrEqual">
      <formula>0.05</formula>
    </cfRule>
  </conditionalFormatting>
  <conditionalFormatting sqref="E522">
    <cfRule type="cellIs" dxfId="483" priority="521" stopIfTrue="1" operator="greaterThanOrEqual">
      <formula>0.05</formula>
    </cfRule>
  </conditionalFormatting>
  <conditionalFormatting sqref="E523">
    <cfRule type="cellIs" dxfId="482" priority="522" stopIfTrue="1" operator="greaterThanOrEqual">
      <formula>0.05</formula>
    </cfRule>
  </conditionalFormatting>
  <conditionalFormatting sqref="E524">
    <cfRule type="cellIs" dxfId="481" priority="523" stopIfTrue="1" operator="greaterThanOrEqual">
      <formula>0.05</formula>
    </cfRule>
  </conditionalFormatting>
  <conditionalFormatting sqref="E525">
    <cfRule type="cellIs" dxfId="480" priority="524" stopIfTrue="1" operator="greaterThanOrEqual">
      <formula>0.05</formula>
    </cfRule>
  </conditionalFormatting>
  <conditionalFormatting sqref="E526">
    <cfRule type="cellIs" dxfId="479" priority="525" stopIfTrue="1" operator="greaterThanOrEqual">
      <formula>0.05</formula>
    </cfRule>
  </conditionalFormatting>
  <conditionalFormatting sqref="E527">
    <cfRule type="cellIs" dxfId="478" priority="526" stopIfTrue="1" operator="greaterThanOrEqual">
      <formula>0.05</formula>
    </cfRule>
  </conditionalFormatting>
  <conditionalFormatting sqref="E528">
    <cfRule type="cellIs" dxfId="477" priority="527" stopIfTrue="1" operator="greaterThanOrEqual">
      <formula>0.05</formula>
    </cfRule>
  </conditionalFormatting>
  <conditionalFormatting sqref="E529">
    <cfRule type="cellIs" dxfId="476" priority="528" stopIfTrue="1" operator="greaterThanOrEqual">
      <formula>0.05</formula>
    </cfRule>
  </conditionalFormatting>
  <conditionalFormatting sqref="E530">
    <cfRule type="cellIs" dxfId="475" priority="529" stopIfTrue="1" operator="greaterThanOrEqual">
      <formula>0.05</formula>
    </cfRule>
  </conditionalFormatting>
  <conditionalFormatting sqref="E531">
    <cfRule type="cellIs" dxfId="474" priority="530" stopIfTrue="1" operator="greaterThanOrEqual">
      <formula>0.05</formula>
    </cfRule>
  </conditionalFormatting>
  <conditionalFormatting sqref="E532">
    <cfRule type="cellIs" dxfId="473" priority="531" stopIfTrue="1" operator="greaterThanOrEqual">
      <formula>0.05</formula>
    </cfRule>
  </conditionalFormatting>
  <conditionalFormatting sqref="E533">
    <cfRule type="cellIs" dxfId="472" priority="532" stopIfTrue="1" operator="greaterThanOrEqual">
      <formula>0.05</formula>
    </cfRule>
  </conditionalFormatting>
  <conditionalFormatting sqref="E534">
    <cfRule type="cellIs" dxfId="471" priority="533" stopIfTrue="1" operator="greaterThanOrEqual">
      <formula>0.05</formula>
    </cfRule>
  </conditionalFormatting>
  <conditionalFormatting sqref="E535">
    <cfRule type="cellIs" dxfId="470" priority="534" stopIfTrue="1" operator="greaterThanOrEqual">
      <formula>0.05</formula>
    </cfRule>
  </conditionalFormatting>
  <conditionalFormatting sqref="E536">
    <cfRule type="cellIs" dxfId="469" priority="535" stopIfTrue="1" operator="greaterThanOrEqual">
      <formula>0.05</formula>
    </cfRule>
  </conditionalFormatting>
  <conditionalFormatting sqref="E537">
    <cfRule type="cellIs" dxfId="468" priority="536" stopIfTrue="1" operator="greaterThanOrEqual">
      <formula>0.05</formula>
    </cfRule>
  </conditionalFormatting>
  <conditionalFormatting sqref="E538">
    <cfRule type="cellIs" dxfId="467" priority="537" stopIfTrue="1" operator="greaterThanOrEqual">
      <formula>0.05</formula>
    </cfRule>
  </conditionalFormatting>
  <conditionalFormatting sqref="E539">
    <cfRule type="cellIs" dxfId="466" priority="538" stopIfTrue="1" operator="greaterThanOrEqual">
      <formula>0.05</formula>
    </cfRule>
  </conditionalFormatting>
  <conditionalFormatting sqref="E540">
    <cfRule type="cellIs" dxfId="465" priority="539" stopIfTrue="1" operator="greaterThanOrEqual">
      <formula>0.05</formula>
    </cfRule>
  </conditionalFormatting>
  <conditionalFormatting sqref="E541">
    <cfRule type="cellIs" dxfId="464" priority="540" stopIfTrue="1" operator="greaterThanOrEqual">
      <formula>0.05</formula>
    </cfRule>
  </conditionalFormatting>
  <conditionalFormatting sqref="E542">
    <cfRule type="cellIs" dxfId="463" priority="541" stopIfTrue="1" operator="greaterThanOrEqual">
      <formula>0.05</formula>
    </cfRule>
  </conditionalFormatting>
  <conditionalFormatting sqref="E543">
    <cfRule type="cellIs" dxfId="462" priority="542" stopIfTrue="1" operator="greaterThanOrEqual">
      <formula>0.05</formula>
    </cfRule>
  </conditionalFormatting>
  <conditionalFormatting sqref="E544">
    <cfRule type="cellIs" dxfId="461" priority="543" stopIfTrue="1" operator="greaterThanOrEqual">
      <formula>0.05</formula>
    </cfRule>
  </conditionalFormatting>
  <conditionalFormatting sqref="E545">
    <cfRule type="cellIs" dxfId="460" priority="544" stopIfTrue="1" operator="greaterThanOrEqual">
      <formula>0.05</formula>
    </cfRule>
  </conditionalFormatting>
  <conditionalFormatting sqref="E546">
    <cfRule type="cellIs" dxfId="459" priority="545" stopIfTrue="1" operator="greaterThanOrEqual">
      <formula>0.05</formula>
    </cfRule>
  </conditionalFormatting>
  <conditionalFormatting sqref="E547">
    <cfRule type="cellIs" dxfId="458" priority="546" stopIfTrue="1" operator="greaterThanOrEqual">
      <formula>0.05</formula>
    </cfRule>
  </conditionalFormatting>
  <conditionalFormatting sqref="E548">
    <cfRule type="cellIs" dxfId="457" priority="547" stopIfTrue="1" operator="greaterThanOrEqual">
      <formula>0.05</formula>
    </cfRule>
  </conditionalFormatting>
  <conditionalFormatting sqref="E549">
    <cfRule type="cellIs" dxfId="456" priority="548" stopIfTrue="1" operator="greaterThanOrEqual">
      <formula>0.05</formula>
    </cfRule>
  </conditionalFormatting>
  <conditionalFormatting sqref="E550">
    <cfRule type="cellIs" dxfId="455" priority="549" stopIfTrue="1" operator="greaterThanOrEqual">
      <formula>0.05</formula>
    </cfRule>
  </conditionalFormatting>
  <conditionalFormatting sqref="E551">
    <cfRule type="cellIs" dxfId="454" priority="550" stopIfTrue="1" operator="greaterThanOrEqual">
      <formula>0.05</formula>
    </cfRule>
  </conditionalFormatting>
  <conditionalFormatting sqref="E552">
    <cfRule type="cellIs" dxfId="453" priority="551" stopIfTrue="1" operator="greaterThanOrEqual">
      <formula>0.05</formula>
    </cfRule>
  </conditionalFormatting>
  <conditionalFormatting sqref="E553">
    <cfRule type="cellIs" dxfId="452" priority="552" stopIfTrue="1" operator="greaterThanOrEqual">
      <formula>0.05</formula>
    </cfRule>
  </conditionalFormatting>
  <conditionalFormatting sqref="E554">
    <cfRule type="cellIs" dxfId="451" priority="553" stopIfTrue="1" operator="greaterThanOrEqual">
      <formula>0.05</formula>
    </cfRule>
  </conditionalFormatting>
  <conditionalFormatting sqref="E555">
    <cfRule type="cellIs" dxfId="450" priority="554" stopIfTrue="1" operator="greaterThanOrEqual">
      <formula>0.05</formula>
    </cfRule>
  </conditionalFormatting>
  <conditionalFormatting sqref="E556">
    <cfRule type="cellIs" dxfId="449" priority="555" stopIfTrue="1" operator="greaterThanOrEqual">
      <formula>0.05</formula>
    </cfRule>
  </conditionalFormatting>
  <conditionalFormatting sqref="E557">
    <cfRule type="cellIs" dxfId="448" priority="556" stopIfTrue="1" operator="greaterThanOrEqual">
      <formula>0.05</formula>
    </cfRule>
  </conditionalFormatting>
  <conditionalFormatting sqref="E558">
    <cfRule type="cellIs" dxfId="447" priority="557" stopIfTrue="1" operator="greaterThanOrEqual">
      <formula>0.05</formula>
    </cfRule>
  </conditionalFormatting>
  <conditionalFormatting sqref="E559">
    <cfRule type="cellIs" dxfId="446" priority="558" stopIfTrue="1" operator="greaterThanOrEqual">
      <formula>0.05</formula>
    </cfRule>
  </conditionalFormatting>
  <conditionalFormatting sqref="E560">
    <cfRule type="cellIs" dxfId="445" priority="559" stopIfTrue="1" operator="greaterThanOrEqual">
      <formula>0.05</formula>
    </cfRule>
  </conditionalFormatting>
  <conditionalFormatting sqref="E561">
    <cfRule type="cellIs" dxfId="444" priority="560" stopIfTrue="1" operator="greaterThanOrEqual">
      <formula>0.05</formula>
    </cfRule>
  </conditionalFormatting>
  <conditionalFormatting sqref="E562">
    <cfRule type="cellIs" dxfId="443" priority="561" stopIfTrue="1" operator="greaterThanOrEqual">
      <formula>0.05</formula>
    </cfRule>
  </conditionalFormatting>
  <conditionalFormatting sqref="E563">
    <cfRule type="cellIs" dxfId="442" priority="562" stopIfTrue="1" operator="greaterThanOrEqual">
      <formula>0.05</formula>
    </cfRule>
  </conditionalFormatting>
  <conditionalFormatting sqref="E564">
    <cfRule type="cellIs" dxfId="441" priority="563" stopIfTrue="1" operator="greaterThanOrEqual">
      <formula>0.05</formula>
    </cfRule>
  </conditionalFormatting>
  <conditionalFormatting sqref="E565">
    <cfRule type="cellIs" dxfId="440" priority="564" stopIfTrue="1" operator="greaterThanOrEqual">
      <formula>0.05</formula>
    </cfRule>
  </conditionalFormatting>
  <conditionalFormatting sqref="E566">
    <cfRule type="cellIs" dxfId="439" priority="565" stopIfTrue="1" operator="greaterThanOrEqual">
      <formula>0.05</formula>
    </cfRule>
  </conditionalFormatting>
  <conditionalFormatting sqref="E567">
    <cfRule type="cellIs" dxfId="438" priority="566" stopIfTrue="1" operator="greaterThanOrEqual">
      <formula>0.05</formula>
    </cfRule>
  </conditionalFormatting>
  <conditionalFormatting sqref="E568">
    <cfRule type="cellIs" dxfId="437" priority="567" stopIfTrue="1" operator="greaterThanOrEqual">
      <formula>0.05</formula>
    </cfRule>
  </conditionalFormatting>
  <conditionalFormatting sqref="E569">
    <cfRule type="cellIs" dxfId="436" priority="568" stopIfTrue="1" operator="greaterThanOrEqual">
      <formula>0.05</formula>
    </cfRule>
  </conditionalFormatting>
  <conditionalFormatting sqref="E570">
    <cfRule type="cellIs" dxfId="435" priority="569" stopIfTrue="1" operator="greaterThanOrEqual">
      <formula>0.05</formula>
    </cfRule>
  </conditionalFormatting>
  <conditionalFormatting sqref="E571">
    <cfRule type="cellIs" dxfId="434" priority="570" stopIfTrue="1" operator="greaterThanOrEqual">
      <formula>0.05</formula>
    </cfRule>
  </conditionalFormatting>
  <conditionalFormatting sqref="E572">
    <cfRule type="cellIs" dxfId="433" priority="571" stopIfTrue="1" operator="greaterThanOrEqual">
      <formula>0.05</formula>
    </cfRule>
  </conditionalFormatting>
  <conditionalFormatting sqref="E573">
    <cfRule type="cellIs" dxfId="432" priority="572" stopIfTrue="1" operator="greaterThanOrEqual">
      <formula>0.05</formula>
    </cfRule>
  </conditionalFormatting>
  <conditionalFormatting sqref="E574">
    <cfRule type="cellIs" dxfId="431" priority="573" stopIfTrue="1" operator="greaterThanOrEqual">
      <formula>0.05</formula>
    </cfRule>
  </conditionalFormatting>
  <conditionalFormatting sqref="E575">
    <cfRule type="cellIs" dxfId="430" priority="574" stopIfTrue="1" operator="greaterThanOrEqual">
      <formula>0.05</formula>
    </cfRule>
  </conditionalFormatting>
  <conditionalFormatting sqref="E576">
    <cfRule type="cellIs" dxfId="429" priority="575" stopIfTrue="1" operator="greaterThanOrEqual">
      <formula>0.05</formula>
    </cfRule>
  </conditionalFormatting>
  <conditionalFormatting sqref="E577">
    <cfRule type="cellIs" dxfId="428" priority="576" stopIfTrue="1" operator="greaterThanOrEqual">
      <formula>0.05</formula>
    </cfRule>
  </conditionalFormatting>
  <conditionalFormatting sqref="E578">
    <cfRule type="cellIs" dxfId="427" priority="577" stopIfTrue="1" operator="greaterThanOrEqual">
      <formula>0.05</formula>
    </cfRule>
  </conditionalFormatting>
  <conditionalFormatting sqref="E579">
    <cfRule type="cellIs" dxfId="426" priority="578" stopIfTrue="1" operator="greaterThanOrEqual">
      <formula>0.05</formula>
    </cfRule>
  </conditionalFormatting>
  <conditionalFormatting sqref="E580">
    <cfRule type="cellIs" dxfId="425" priority="579" stopIfTrue="1" operator="greaterThanOrEqual">
      <formula>0.05</formula>
    </cfRule>
  </conditionalFormatting>
  <conditionalFormatting sqref="E581">
    <cfRule type="cellIs" dxfId="424" priority="580" stopIfTrue="1" operator="greaterThanOrEqual">
      <formula>0.05</formula>
    </cfRule>
  </conditionalFormatting>
  <conditionalFormatting sqref="E582">
    <cfRule type="cellIs" dxfId="423" priority="581" stopIfTrue="1" operator="greaterThanOrEqual">
      <formula>0.05</formula>
    </cfRule>
  </conditionalFormatting>
  <conditionalFormatting sqref="E583">
    <cfRule type="cellIs" dxfId="422" priority="582" stopIfTrue="1" operator="greaterThanOrEqual">
      <formula>0.05</formula>
    </cfRule>
  </conditionalFormatting>
  <conditionalFormatting sqref="E584">
    <cfRule type="cellIs" dxfId="421" priority="583" stopIfTrue="1" operator="greaterThanOrEqual">
      <formula>0.05</formula>
    </cfRule>
  </conditionalFormatting>
  <conditionalFormatting sqref="E585">
    <cfRule type="cellIs" dxfId="420" priority="584" stopIfTrue="1" operator="greaterThanOrEqual">
      <formula>0.05</formula>
    </cfRule>
  </conditionalFormatting>
  <conditionalFormatting sqref="E586">
    <cfRule type="cellIs" dxfId="419" priority="585" stopIfTrue="1" operator="greaterThanOrEqual">
      <formula>0.05</formula>
    </cfRule>
  </conditionalFormatting>
  <conditionalFormatting sqref="E587">
    <cfRule type="cellIs" dxfId="418" priority="586" stopIfTrue="1" operator="greaterThanOrEqual">
      <formula>0.05</formula>
    </cfRule>
  </conditionalFormatting>
  <conditionalFormatting sqref="E588">
    <cfRule type="cellIs" dxfId="417" priority="587" stopIfTrue="1" operator="greaterThanOrEqual">
      <formula>0.05</formula>
    </cfRule>
  </conditionalFormatting>
  <conditionalFormatting sqref="E589">
    <cfRule type="cellIs" dxfId="416" priority="588" stopIfTrue="1" operator="greaterThanOrEqual">
      <formula>0.05</formula>
    </cfRule>
  </conditionalFormatting>
  <conditionalFormatting sqref="E590">
    <cfRule type="cellIs" dxfId="415" priority="589" stopIfTrue="1" operator="greaterThanOrEqual">
      <formula>0.05</formula>
    </cfRule>
  </conditionalFormatting>
  <conditionalFormatting sqref="E591">
    <cfRule type="cellIs" dxfId="414" priority="590" stopIfTrue="1" operator="greaterThanOrEqual">
      <formula>0.05</formula>
    </cfRule>
  </conditionalFormatting>
  <conditionalFormatting sqref="E592">
    <cfRule type="cellIs" dxfId="413" priority="591" stopIfTrue="1" operator="greaterThanOrEqual">
      <formula>0.05</formula>
    </cfRule>
  </conditionalFormatting>
  <conditionalFormatting sqref="E593">
    <cfRule type="cellIs" dxfId="412" priority="592" stopIfTrue="1" operator="greaterThanOrEqual">
      <formula>0.05</formula>
    </cfRule>
  </conditionalFormatting>
  <conditionalFormatting sqref="E594">
    <cfRule type="cellIs" dxfId="411" priority="593" stopIfTrue="1" operator="greaterThanOrEqual">
      <formula>0.05</formula>
    </cfRule>
  </conditionalFormatting>
  <conditionalFormatting sqref="E595">
    <cfRule type="cellIs" dxfId="410" priority="594" stopIfTrue="1" operator="greaterThanOrEqual">
      <formula>0.05</formula>
    </cfRule>
  </conditionalFormatting>
  <conditionalFormatting sqref="E596">
    <cfRule type="cellIs" dxfId="409" priority="595" stopIfTrue="1" operator="greaterThanOrEqual">
      <formula>0.05</formula>
    </cfRule>
  </conditionalFormatting>
  <conditionalFormatting sqref="E597">
    <cfRule type="cellIs" dxfId="408" priority="596" stopIfTrue="1" operator="greaterThanOrEqual">
      <formula>0.05</formula>
    </cfRule>
  </conditionalFormatting>
  <conditionalFormatting sqref="E598">
    <cfRule type="cellIs" dxfId="407" priority="597" stopIfTrue="1" operator="greaterThanOrEqual">
      <formula>0.05</formula>
    </cfRule>
  </conditionalFormatting>
  <conditionalFormatting sqref="E599">
    <cfRule type="cellIs" dxfId="406" priority="598" stopIfTrue="1" operator="greaterThanOrEqual">
      <formula>0.05</formula>
    </cfRule>
  </conditionalFormatting>
  <conditionalFormatting sqref="E600">
    <cfRule type="cellIs" dxfId="405" priority="599" stopIfTrue="1" operator="greaterThanOrEqual">
      <formula>0.05</formula>
    </cfRule>
  </conditionalFormatting>
  <conditionalFormatting sqref="E601">
    <cfRule type="cellIs" dxfId="404" priority="600" stopIfTrue="1" operator="greaterThanOrEqual">
      <formula>0.05</formula>
    </cfRule>
  </conditionalFormatting>
  <conditionalFormatting sqref="E602">
    <cfRule type="cellIs" dxfId="403" priority="601" stopIfTrue="1" operator="greaterThanOrEqual">
      <formula>0.05</formula>
    </cfRule>
  </conditionalFormatting>
  <conditionalFormatting sqref="E603">
    <cfRule type="cellIs" dxfId="402" priority="602" stopIfTrue="1" operator="greaterThanOrEqual">
      <formula>0.05</formula>
    </cfRule>
  </conditionalFormatting>
  <conditionalFormatting sqref="E604">
    <cfRule type="cellIs" dxfId="401" priority="603" stopIfTrue="1" operator="greaterThanOrEqual">
      <formula>0.05</formula>
    </cfRule>
  </conditionalFormatting>
  <conditionalFormatting sqref="E605">
    <cfRule type="cellIs" dxfId="400" priority="604" stopIfTrue="1" operator="greaterThanOrEqual">
      <formula>0.05</formula>
    </cfRule>
  </conditionalFormatting>
  <conditionalFormatting sqref="E606">
    <cfRule type="cellIs" dxfId="399" priority="605" stopIfTrue="1" operator="greaterThanOrEqual">
      <formula>0.05</formula>
    </cfRule>
  </conditionalFormatting>
  <conditionalFormatting sqref="E607">
    <cfRule type="cellIs" dxfId="398" priority="606" stopIfTrue="1" operator="greaterThanOrEqual">
      <formula>0.05</formula>
    </cfRule>
  </conditionalFormatting>
  <conditionalFormatting sqref="E608">
    <cfRule type="cellIs" dxfId="397" priority="607" stopIfTrue="1" operator="greaterThanOrEqual">
      <formula>0.05</formula>
    </cfRule>
  </conditionalFormatting>
  <conditionalFormatting sqref="E609">
    <cfRule type="cellIs" dxfId="396" priority="608" stopIfTrue="1" operator="greaterThanOrEqual">
      <formula>0.05</formula>
    </cfRule>
  </conditionalFormatting>
  <conditionalFormatting sqref="E610">
    <cfRule type="cellIs" dxfId="395" priority="609" stopIfTrue="1" operator="greaterThanOrEqual">
      <formula>0.05</formula>
    </cfRule>
  </conditionalFormatting>
  <conditionalFormatting sqref="E611">
    <cfRule type="cellIs" dxfId="394" priority="610" stopIfTrue="1" operator="greaterThanOrEqual">
      <formula>0.05</formula>
    </cfRule>
  </conditionalFormatting>
  <conditionalFormatting sqref="E612">
    <cfRule type="cellIs" dxfId="393" priority="611" stopIfTrue="1" operator="greaterThanOrEqual">
      <formula>0.05</formula>
    </cfRule>
  </conditionalFormatting>
  <conditionalFormatting sqref="E613">
    <cfRule type="cellIs" dxfId="392" priority="612" stopIfTrue="1" operator="greaterThanOrEqual">
      <formula>0.05</formula>
    </cfRule>
  </conditionalFormatting>
  <conditionalFormatting sqref="E614">
    <cfRule type="cellIs" dxfId="391" priority="613" stopIfTrue="1" operator="greaterThanOrEqual">
      <formula>0.05</formula>
    </cfRule>
  </conditionalFormatting>
  <conditionalFormatting sqref="E615">
    <cfRule type="cellIs" dxfId="390" priority="614" stopIfTrue="1" operator="greaterThanOrEqual">
      <formula>0.05</formula>
    </cfRule>
  </conditionalFormatting>
  <conditionalFormatting sqref="E616">
    <cfRule type="cellIs" dxfId="389" priority="615" stopIfTrue="1" operator="greaterThanOrEqual">
      <formula>0.05</formula>
    </cfRule>
  </conditionalFormatting>
  <conditionalFormatting sqref="E617">
    <cfRule type="cellIs" dxfId="388" priority="616" stopIfTrue="1" operator="greaterThanOrEqual">
      <formula>0.05</formula>
    </cfRule>
  </conditionalFormatting>
  <conditionalFormatting sqref="E618">
    <cfRule type="cellIs" dxfId="387" priority="617" stopIfTrue="1" operator="greaterThanOrEqual">
      <formula>0.05</formula>
    </cfRule>
  </conditionalFormatting>
  <conditionalFormatting sqref="E619">
    <cfRule type="cellIs" dxfId="386" priority="618" stopIfTrue="1" operator="greaterThanOrEqual">
      <formula>0.05</formula>
    </cfRule>
  </conditionalFormatting>
  <conditionalFormatting sqref="E620">
    <cfRule type="cellIs" dxfId="385" priority="619" stopIfTrue="1" operator="greaterThanOrEqual">
      <formula>0.05</formula>
    </cfRule>
  </conditionalFormatting>
  <conditionalFormatting sqref="E621">
    <cfRule type="cellIs" dxfId="384" priority="620" stopIfTrue="1" operator="greaterThanOrEqual">
      <formula>0.05</formula>
    </cfRule>
  </conditionalFormatting>
  <conditionalFormatting sqref="E622">
    <cfRule type="cellIs" dxfId="383" priority="621" stopIfTrue="1" operator="greaterThanOrEqual">
      <formula>0.05</formula>
    </cfRule>
  </conditionalFormatting>
  <conditionalFormatting sqref="E623">
    <cfRule type="cellIs" dxfId="382" priority="622" stopIfTrue="1" operator="greaterThanOrEqual">
      <formula>0.05</formula>
    </cfRule>
  </conditionalFormatting>
  <conditionalFormatting sqref="E624">
    <cfRule type="cellIs" dxfId="381" priority="623" stopIfTrue="1" operator="greaterThanOrEqual">
      <formula>0.05</formula>
    </cfRule>
  </conditionalFormatting>
  <conditionalFormatting sqref="E625">
    <cfRule type="cellIs" dxfId="380" priority="624" stopIfTrue="1" operator="greaterThanOrEqual">
      <formula>0.05</formula>
    </cfRule>
  </conditionalFormatting>
  <conditionalFormatting sqref="E626">
    <cfRule type="cellIs" dxfId="379" priority="625" stopIfTrue="1" operator="greaterThanOrEqual">
      <formula>0.05</formula>
    </cfRule>
  </conditionalFormatting>
  <conditionalFormatting sqref="E627">
    <cfRule type="cellIs" dxfId="378" priority="626" stopIfTrue="1" operator="greaterThanOrEqual">
      <formula>0.05</formula>
    </cfRule>
  </conditionalFormatting>
  <conditionalFormatting sqref="E628">
    <cfRule type="cellIs" dxfId="377" priority="627" stopIfTrue="1" operator="greaterThanOrEqual">
      <formula>0.05</formula>
    </cfRule>
  </conditionalFormatting>
  <conditionalFormatting sqref="E629">
    <cfRule type="cellIs" dxfId="376" priority="628" stopIfTrue="1" operator="greaterThanOrEqual">
      <formula>0.05</formula>
    </cfRule>
  </conditionalFormatting>
  <conditionalFormatting sqref="E630">
    <cfRule type="cellIs" dxfId="375" priority="629" stopIfTrue="1" operator="greaterThanOrEqual">
      <formula>0.05</formula>
    </cfRule>
  </conditionalFormatting>
  <conditionalFormatting sqref="E631">
    <cfRule type="cellIs" dxfId="374" priority="630" stopIfTrue="1" operator="greaterThanOrEqual">
      <formula>0.05</formula>
    </cfRule>
  </conditionalFormatting>
  <conditionalFormatting sqref="E632">
    <cfRule type="cellIs" dxfId="373" priority="631" stopIfTrue="1" operator="greaterThanOrEqual">
      <formula>0.05</formula>
    </cfRule>
  </conditionalFormatting>
  <conditionalFormatting sqref="E633">
    <cfRule type="cellIs" dxfId="372" priority="632" stopIfTrue="1" operator="greaterThanOrEqual">
      <formula>0.05</formula>
    </cfRule>
  </conditionalFormatting>
  <conditionalFormatting sqref="E634">
    <cfRule type="cellIs" dxfId="371" priority="633" stopIfTrue="1" operator="greaterThanOrEqual">
      <formula>0.05</formula>
    </cfRule>
  </conditionalFormatting>
  <conditionalFormatting sqref="E635">
    <cfRule type="cellIs" dxfId="370" priority="634" stopIfTrue="1" operator="greaterThanOrEqual">
      <formula>0.05</formula>
    </cfRule>
  </conditionalFormatting>
  <conditionalFormatting sqref="E636">
    <cfRule type="cellIs" dxfId="369" priority="635" stopIfTrue="1" operator="greaterThanOrEqual">
      <formula>0.05</formula>
    </cfRule>
  </conditionalFormatting>
  <conditionalFormatting sqref="E637">
    <cfRule type="cellIs" dxfId="368" priority="636" stopIfTrue="1" operator="greaterThanOrEqual">
      <formula>0.05</formula>
    </cfRule>
  </conditionalFormatting>
  <conditionalFormatting sqref="E638">
    <cfRule type="cellIs" dxfId="367" priority="637" stopIfTrue="1" operator="greaterThanOrEqual">
      <formula>0.05</formula>
    </cfRule>
  </conditionalFormatting>
  <conditionalFormatting sqref="E639">
    <cfRule type="cellIs" dxfId="366" priority="638" stopIfTrue="1" operator="greaterThanOrEqual">
      <formula>0.05</formula>
    </cfRule>
  </conditionalFormatting>
  <conditionalFormatting sqref="E640">
    <cfRule type="cellIs" dxfId="365" priority="639" stopIfTrue="1" operator="greaterThanOrEqual">
      <formula>0.05</formula>
    </cfRule>
  </conditionalFormatting>
  <conditionalFormatting sqref="E641">
    <cfRule type="cellIs" dxfId="364" priority="640" stopIfTrue="1" operator="greaterThanOrEqual">
      <formula>0.05</formula>
    </cfRule>
  </conditionalFormatting>
  <conditionalFormatting sqref="E642">
    <cfRule type="cellIs" dxfId="363" priority="641" stopIfTrue="1" operator="greaterThanOrEqual">
      <formula>0.05</formula>
    </cfRule>
  </conditionalFormatting>
  <conditionalFormatting sqref="E643">
    <cfRule type="cellIs" dxfId="362" priority="642" stopIfTrue="1" operator="greaterThanOrEqual">
      <formula>0.05</formula>
    </cfRule>
  </conditionalFormatting>
  <conditionalFormatting sqref="E644">
    <cfRule type="cellIs" dxfId="361" priority="643" stopIfTrue="1" operator="greaterThanOrEqual">
      <formula>0.05</formula>
    </cfRule>
  </conditionalFormatting>
  <conditionalFormatting sqref="E645">
    <cfRule type="cellIs" dxfId="360" priority="644" stopIfTrue="1" operator="greaterThanOrEqual">
      <formula>0.05</formula>
    </cfRule>
  </conditionalFormatting>
  <conditionalFormatting sqref="E646">
    <cfRule type="cellIs" dxfId="359" priority="645" stopIfTrue="1" operator="greaterThanOrEqual">
      <formula>0.05</formula>
    </cfRule>
  </conditionalFormatting>
  <conditionalFormatting sqref="E647">
    <cfRule type="cellIs" dxfId="358" priority="646" stopIfTrue="1" operator="greaterThanOrEqual">
      <formula>0.05</formula>
    </cfRule>
  </conditionalFormatting>
  <conditionalFormatting sqref="E648">
    <cfRule type="cellIs" dxfId="357" priority="647" stopIfTrue="1" operator="greaterThanOrEqual">
      <formula>0.05</formula>
    </cfRule>
  </conditionalFormatting>
  <conditionalFormatting sqref="E649">
    <cfRule type="cellIs" dxfId="356" priority="648" stopIfTrue="1" operator="greaterThanOrEqual">
      <formula>0.05</formula>
    </cfRule>
  </conditionalFormatting>
  <conditionalFormatting sqref="E650">
    <cfRule type="cellIs" dxfId="355" priority="649" stopIfTrue="1" operator="greaterThanOrEqual">
      <formula>0.05</formula>
    </cfRule>
  </conditionalFormatting>
  <conditionalFormatting sqref="E651">
    <cfRule type="cellIs" dxfId="354" priority="650" stopIfTrue="1" operator="greaterThanOrEqual">
      <formula>0.05</formula>
    </cfRule>
  </conditionalFormatting>
  <conditionalFormatting sqref="E652">
    <cfRule type="cellIs" dxfId="353" priority="651" stopIfTrue="1" operator="greaterThanOrEqual">
      <formula>0.05</formula>
    </cfRule>
  </conditionalFormatting>
  <conditionalFormatting sqref="E653">
    <cfRule type="cellIs" dxfId="352" priority="652" stopIfTrue="1" operator="greaterThanOrEqual">
      <formula>0.05</formula>
    </cfRule>
  </conditionalFormatting>
  <conditionalFormatting sqref="E654">
    <cfRule type="cellIs" dxfId="351" priority="653" stopIfTrue="1" operator="greaterThanOrEqual">
      <formula>0.05</formula>
    </cfRule>
  </conditionalFormatting>
  <conditionalFormatting sqref="E655">
    <cfRule type="cellIs" dxfId="350" priority="654" stopIfTrue="1" operator="greaterThanOrEqual">
      <formula>0.05</formula>
    </cfRule>
  </conditionalFormatting>
  <conditionalFormatting sqref="E656">
    <cfRule type="cellIs" dxfId="349" priority="655" stopIfTrue="1" operator="greaterThanOrEqual">
      <formula>0.05</formula>
    </cfRule>
  </conditionalFormatting>
  <conditionalFormatting sqref="E657">
    <cfRule type="cellIs" dxfId="348" priority="656" stopIfTrue="1" operator="greaterThanOrEqual">
      <formula>0.05</formula>
    </cfRule>
  </conditionalFormatting>
  <conditionalFormatting sqref="E658">
    <cfRule type="cellIs" dxfId="347" priority="657" stopIfTrue="1" operator="greaterThanOrEqual">
      <formula>0.05</formula>
    </cfRule>
  </conditionalFormatting>
  <conditionalFormatting sqref="E659">
    <cfRule type="cellIs" dxfId="346" priority="658" stopIfTrue="1" operator="greaterThanOrEqual">
      <formula>0.05</formula>
    </cfRule>
  </conditionalFormatting>
  <conditionalFormatting sqref="E660">
    <cfRule type="cellIs" dxfId="345" priority="659" stopIfTrue="1" operator="greaterThanOrEqual">
      <formula>0.05</formula>
    </cfRule>
  </conditionalFormatting>
  <conditionalFormatting sqref="E661">
    <cfRule type="cellIs" dxfId="344" priority="660" stopIfTrue="1" operator="greaterThanOrEqual">
      <formula>0.05</formula>
    </cfRule>
  </conditionalFormatting>
  <conditionalFormatting sqref="E662">
    <cfRule type="cellIs" dxfId="343" priority="661" stopIfTrue="1" operator="greaterThanOrEqual">
      <formula>0.05</formula>
    </cfRule>
  </conditionalFormatting>
  <conditionalFormatting sqref="E663">
    <cfRule type="cellIs" dxfId="342" priority="662" stopIfTrue="1" operator="greaterThanOrEqual">
      <formula>0.05</formula>
    </cfRule>
  </conditionalFormatting>
  <conditionalFormatting sqref="E664">
    <cfRule type="cellIs" dxfId="341" priority="663" stopIfTrue="1" operator="greaterThanOrEqual">
      <formula>0.05</formula>
    </cfRule>
  </conditionalFormatting>
  <conditionalFormatting sqref="E665">
    <cfRule type="cellIs" dxfId="340" priority="664" stopIfTrue="1" operator="greaterThanOrEqual">
      <formula>0.05</formula>
    </cfRule>
  </conditionalFormatting>
  <conditionalFormatting sqref="E666">
    <cfRule type="cellIs" dxfId="339" priority="665" stopIfTrue="1" operator="greaterThanOrEqual">
      <formula>0.05</formula>
    </cfRule>
  </conditionalFormatting>
  <conditionalFormatting sqref="E667">
    <cfRule type="cellIs" dxfId="338" priority="666" stopIfTrue="1" operator="greaterThanOrEqual">
      <formula>0.05</formula>
    </cfRule>
  </conditionalFormatting>
  <conditionalFormatting sqref="E668">
    <cfRule type="cellIs" dxfId="337" priority="667" stopIfTrue="1" operator="greaterThanOrEqual">
      <formula>0.05</formula>
    </cfRule>
  </conditionalFormatting>
  <conditionalFormatting sqref="E669">
    <cfRule type="cellIs" dxfId="336" priority="668" stopIfTrue="1" operator="greaterThanOrEqual">
      <formula>0.05</formula>
    </cfRule>
  </conditionalFormatting>
  <conditionalFormatting sqref="E670">
    <cfRule type="cellIs" dxfId="335" priority="669" stopIfTrue="1" operator="greaterThanOrEqual">
      <formula>0.05</formula>
    </cfRule>
  </conditionalFormatting>
  <conditionalFormatting sqref="E671">
    <cfRule type="cellIs" dxfId="334" priority="670" stopIfTrue="1" operator="greaterThanOrEqual">
      <formula>0.05</formula>
    </cfRule>
  </conditionalFormatting>
  <conditionalFormatting sqref="E672">
    <cfRule type="cellIs" dxfId="333" priority="671" stopIfTrue="1" operator="greaterThanOrEqual">
      <formula>0.05</formula>
    </cfRule>
  </conditionalFormatting>
  <conditionalFormatting sqref="E673">
    <cfRule type="cellIs" dxfId="332" priority="672" stopIfTrue="1" operator="greaterThanOrEqual">
      <formula>0.05</formula>
    </cfRule>
  </conditionalFormatting>
  <conditionalFormatting sqref="E674">
    <cfRule type="cellIs" dxfId="331" priority="673" stopIfTrue="1" operator="greaterThanOrEqual">
      <formula>0.05</formula>
    </cfRule>
  </conditionalFormatting>
  <conditionalFormatting sqref="E675">
    <cfRule type="cellIs" dxfId="330" priority="674" stopIfTrue="1" operator="greaterThanOrEqual">
      <formula>0.05</formula>
    </cfRule>
  </conditionalFormatting>
  <conditionalFormatting sqref="E676">
    <cfRule type="cellIs" dxfId="329" priority="675" stopIfTrue="1" operator="greaterThanOrEqual">
      <formula>0.05</formula>
    </cfRule>
  </conditionalFormatting>
  <conditionalFormatting sqref="E677">
    <cfRule type="cellIs" dxfId="328" priority="676" stopIfTrue="1" operator="greaterThanOrEqual">
      <formula>0.05</formula>
    </cfRule>
  </conditionalFormatting>
  <conditionalFormatting sqref="E678">
    <cfRule type="cellIs" dxfId="327" priority="677" stopIfTrue="1" operator="greaterThanOrEqual">
      <formula>0.05</formula>
    </cfRule>
  </conditionalFormatting>
  <conditionalFormatting sqref="E679">
    <cfRule type="cellIs" dxfId="326" priority="678" stopIfTrue="1" operator="greaterThanOrEqual">
      <formula>0.05</formula>
    </cfRule>
  </conditionalFormatting>
  <conditionalFormatting sqref="E680">
    <cfRule type="cellIs" dxfId="325" priority="679" stopIfTrue="1" operator="greaterThanOrEqual">
      <formula>0.05</formula>
    </cfRule>
  </conditionalFormatting>
  <conditionalFormatting sqref="E681">
    <cfRule type="cellIs" dxfId="324" priority="680" stopIfTrue="1" operator="greaterThanOrEqual">
      <formula>0.05</formula>
    </cfRule>
  </conditionalFormatting>
  <conditionalFormatting sqref="E682">
    <cfRule type="cellIs" dxfId="323" priority="681" stopIfTrue="1" operator="greaterThanOrEqual">
      <formula>0.05</formula>
    </cfRule>
  </conditionalFormatting>
  <conditionalFormatting sqref="E683">
    <cfRule type="cellIs" dxfId="322" priority="682" stopIfTrue="1" operator="greaterThanOrEqual">
      <formula>0.05</formula>
    </cfRule>
  </conditionalFormatting>
  <conditionalFormatting sqref="E684">
    <cfRule type="cellIs" dxfId="321" priority="683" stopIfTrue="1" operator="greaterThanOrEqual">
      <formula>0.05</formula>
    </cfRule>
  </conditionalFormatting>
  <conditionalFormatting sqref="E685">
    <cfRule type="cellIs" dxfId="320" priority="684" stopIfTrue="1" operator="greaterThanOrEqual">
      <formula>0.05</formula>
    </cfRule>
  </conditionalFormatting>
  <conditionalFormatting sqref="E686">
    <cfRule type="cellIs" dxfId="319" priority="685" stopIfTrue="1" operator="greaterThanOrEqual">
      <formula>0.05</formula>
    </cfRule>
  </conditionalFormatting>
  <conditionalFormatting sqref="E687">
    <cfRule type="cellIs" dxfId="318" priority="686" stopIfTrue="1" operator="greaterThanOrEqual">
      <formula>0.05</formula>
    </cfRule>
  </conditionalFormatting>
  <conditionalFormatting sqref="E688">
    <cfRule type="cellIs" dxfId="317" priority="687" stopIfTrue="1" operator="greaterThanOrEqual">
      <formula>0.05</formula>
    </cfRule>
  </conditionalFormatting>
  <conditionalFormatting sqref="E689">
    <cfRule type="cellIs" dxfId="316" priority="688" stopIfTrue="1" operator="greaterThanOrEqual">
      <formula>0.05</formula>
    </cfRule>
  </conditionalFormatting>
  <conditionalFormatting sqref="E690">
    <cfRule type="cellIs" dxfId="315" priority="689" stopIfTrue="1" operator="greaterThanOrEqual">
      <formula>0.05</formula>
    </cfRule>
  </conditionalFormatting>
  <conditionalFormatting sqref="E691">
    <cfRule type="cellIs" dxfId="314" priority="690" stopIfTrue="1" operator="greaterThanOrEqual">
      <formula>0.05</formula>
    </cfRule>
  </conditionalFormatting>
  <conditionalFormatting sqref="E692">
    <cfRule type="cellIs" dxfId="313" priority="691" stopIfTrue="1" operator="greaterThanOrEqual">
      <formula>0.05</formula>
    </cfRule>
  </conditionalFormatting>
  <conditionalFormatting sqref="E693">
    <cfRule type="cellIs" dxfId="312" priority="692" stopIfTrue="1" operator="greaterThanOrEqual">
      <formula>0.05</formula>
    </cfRule>
  </conditionalFormatting>
  <conditionalFormatting sqref="E694">
    <cfRule type="cellIs" dxfId="311" priority="693" stopIfTrue="1" operator="greaterThanOrEqual">
      <formula>0.05</formula>
    </cfRule>
  </conditionalFormatting>
  <conditionalFormatting sqref="E695">
    <cfRule type="cellIs" dxfId="310" priority="694" stopIfTrue="1" operator="greaterThanOrEqual">
      <formula>0.05</formula>
    </cfRule>
  </conditionalFormatting>
  <conditionalFormatting sqref="E696">
    <cfRule type="cellIs" dxfId="309" priority="695" stopIfTrue="1" operator="greaterThanOrEqual">
      <formula>0.05</formula>
    </cfRule>
  </conditionalFormatting>
  <conditionalFormatting sqref="E697">
    <cfRule type="cellIs" dxfId="308" priority="696" stopIfTrue="1" operator="greaterThanOrEqual">
      <formula>0.05</formula>
    </cfRule>
  </conditionalFormatting>
  <conditionalFormatting sqref="E698">
    <cfRule type="cellIs" dxfId="307" priority="697" stopIfTrue="1" operator="greaterThanOrEqual">
      <formula>0.05</formula>
    </cfRule>
  </conditionalFormatting>
  <conditionalFormatting sqref="E699">
    <cfRule type="cellIs" dxfId="306" priority="698" stopIfTrue="1" operator="greaterThanOrEqual">
      <formula>0.05</formula>
    </cfRule>
  </conditionalFormatting>
  <conditionalFormatting sqref="E700">
    <cfRule type="cellIs" dxfId="305" priority="699" stopIfTrue="1" operator="greaterThanOrEqual">
      <formula>0.05</formula>
    </cfRule>
  </conditionalFormatting>
  <conditionalFormatting sqref="E701">
    <cfRule type="cellIs" dxfId="304" priority="700" stopIfTrue="1" operator="greaterThanOrEqual">
      <formula>0.05</formula>
    </cfRule>
  </conditionalFormatting>
  <conditionalFormatting sqref="E702">
    <cfRule type="cellIs" dxfId="303" priority="701" stopIfTrue="1" operator="greaterThanOrEqual">
      <formula>0.05</formula>
    </cfRule>
  </conditionalFormatting>
  <conditionalFormatting sqref="E703">
    <cfRule type="cellIs" dxfId="302" priority="702" stopIfTrue="1" operator="greaterThanOrEqual">
      <formula>0.05</formula>
    </cfRule>
  </conditionalFormatting>
  <conditionalFormatting sqref="E704">
    <cfRule type="cellIs" dxfId="301" priority="703" stopIfTrue="1" operator="greaterThanOrEqual">
      <formula>0.05</formula>
    </cfRule>
  </conditionalFormatting>
  <conditionalFormatting sqref="E705">
    <cfRule type="cellIs" dxfId="300" priority="704" stopIfTrue="1" operator="greaterThanOrEqual">
      <formula>0.05</formula>
    </cfRule>
  </conditionalFormatting>
  <conditionalFormatting sqref="E706">
    <cfRule type="cellIs" dxfId="299" priority="705" stopIfTrue="1" operator="greaterThanOrEqual">
      <formula>0.05</formula>
    </cfRule>
  </conditionalFormatting>
  <conditionalFormatting sqref="E707">
    <cfRule type="cellIs" dxfId="298" priority="706" stopIfTrue="1" operator="greaterThanOrEqual">
      <formula>0.05</formula>
    </cfRule>
  </conditionalFormatting>
  <conditionalFormatting sqref="E708">
    <cfRule type="cellIs" dxfId="297" priority="707" stopIfTrue="1" operator="greaterThanOrEqual">
      <formula>0.05</formula>
    </cfRule>
  </conditionalFormatting>
  <conditionalFormatting sqref="E709">
    <cfRule type="cellIs" dxfId="296" priority="708" stopIfTrue="1" operator="greaterThanOrEqual">
      <formula>0.05</formula>
    </cfRule>
  </conditionalFormatting>
  <conditionalFormatting sqref="E710">
    <cfRule type="cellIs" dxfId="295" priority="709" stopIfTrue="1" operator="greaterThanOrEqual">
      <formula>0.05</formula>
    </cfRule>
  </conditionalFormatting>
  <conditionalFormatting sqref="E711">
    <cfRule type="cellIs" dxfId="294" priority="710" stopIfTrue="1" operator="greaterThanOrEqual">
      <formula>0.05</formula>
    </cfRule>
  </conditionalFormatting>
  <conditionalFormatting sqref="E712">
    <cfRule type="cellIs" dxfId="293" priority="711" stopIfTrue="1" operator="greaterThanOrEqual">
      <formula>0.05</formula>
    </cfRule>
  </conditionalFormatting>
  <conditionalFormatting sqref="E713">
    <cfRule type="cellIs" dxfId="292" priority="712" stopIfTrue="1" operator="greaterThanOrEqual">
      <formula>0.05</formula>
    </cfRule>
  </conditionalFormatting>
  <conditionalFormatting sqref="E714">
    <cfRule type="cellIs" dxfId="291" priority="713" stopIfTrue="1" operator="greaterThanOrEqual">
      <formula>0.05</formula>
    </cfRule>
  </conditionalFormatting>
  <conditionalFormatting sqref="E715">
    <cfRule type="cellIs" dxfId="290" priority="714" stopIfTrue="1" operator="greaterThanOrEqual">
      <formula>0.05</formula>
    </cfRule>
  </conditionalFormatting>
  <conditionalFormatting sqref="E716">
    <cfRule type="cellIs" dxfId="289" priority="715" stopIfTrue="1" operator="greaterThanOrEqual">
      <formula>0.05</formula>
    </cfRule>
  </conditionalFormatting>
  <conditionalFormatting sqref="E717">
    <cfRule type="cellIs" dxfId="288" priority="716" stopIfTrue="1" operator="greaterThanOrEqual">
      <formula>0.05</formula>
    </cfRule>
  </conditionalFormatting>
  <conditionalFormatting sqref="E718">
    <cfRule type="cellIs" dxfId="287" priority="717" stopIfTrue="1" operator="greaterThanOrEqual">
      <formula>0.05</formula>
    </cfRule>
  </conditionalFormatting>
  <conditionalFormatting sqref="E719">
    <cfRule type="cellIs" dxfId="286" priority="718" stopIfTrue="1" operator="greaterThanOrEqual">
      <formula>0.05</formula>
    </cfRule>
  </conditionalFormatting>
  <conditionalFormatting sqref="E720">
    <cfRule type="cellIs" dxfId="285" priority="719" stopIfTrue="1" operator="greaterThanOrEqual">
      <formula>0.05</formula>
    </cfRule>
  </conditionalFormatting>
  <conditionalFormatting sqref="E721">
    <cfRule type="cellIs" dxfId="284" priority="720" stopIfTrue="1" operator="greaterThanOrEqual">
      <formula>0.05</formula>
    </cfRule>
  </conditionalFormatting>
  <conditionalFormatting sqref="E722">
    <cfRule type="cellIs" dxfId="283" priority="721" stopIfTrue="1" operator="greaterThanOrEqual">
      <formula>0.05</formula>
    </cfRule>
  </conditionalFormatting>
  <conditionalFormatting sqref="E723">
    <cfRule type="cellIs" dxfId="282" priority="722" stopIfTrue="1" operator="greaterThanOrEqual">
      <formula>0.05</formula>
    </cfRule>
  </conditionalFormatting>
  <conditionalFormatting sqref="E724">
    <cfRule type="cellIs" dxfId="281" priority="723" stopIfTrue="1" operator="greaterThanOrEqual">
      <formula>0.05</formula>
    </cfRule>
  </conditionalFormatting>
  <conditionalFormatting sqref="E725">
    <cfRule type="cellIs" dxfId="280" priority="724" stopIfTrue="1" operator="greaterThanOrEqual">
      <formula>0.05</formula>
    </cfRule>
  </conditionalFormatting>
  <conditionalFormatting sqref="E726">
    <cfRule type="cellIs" dxfId="279" priority="725" stopIfTrue="1" operator="greaterThanOrEqual">
      <formula>0.05</formula>
    </cfRule>
  </conditionalFormatting>
  <conditionalFormatting sqref="E727">
    <cfRule type="cellIs" dxfId="278" priority="726" stopIfTrue="1" operator="greaterThanOrEqual">
      <formula>0.05</formula>
    </cfRule>
  </conditionalFormatting>
  <conditionalFormatting sqref="E728">
    <cfRule type="cellIs" dxfId="277" priority="727" stopIfTrue="1" operator="greaterThanOrEqual">
      <formula>0.05</formula>
    </cfRule>
  </conditionalFormatting>
  <conditionalFormatting sqref="E729">
    <cfRule type="cellIs" dxfId="276" priority="728" stopIfTrue="1" operator="greaterThanOrEqual">
      <formula>0.05</formula>
    </cfRule>
  </conditionalFormatting>
  <conditionalFormatting sqref="E730">
    <cfRule type="cellIs" dxfId="275" priority="729" stopIfTrue="1" operator="greaterThanOrEqual">
      <formula>0.05</formula>
    </cfRule>
  </conditionalFormatting>
  <conditionalFormatting sqref="E731">
    <cfRule type="cellIs" dxfId="274" priority="730" stopIfTrue="1" operator="greaterThanOrEqual">
      <formula>0.05</formula>
    </cfRule>
  </conditionalFormatting>
  <conditionalFormatting sqref="E732">
    <cfRule type="cellIs" dxfId="273" priority="731" stopIfTrue="1" operator="greaterThanOrEqual">
      <formula>0.05</formula>
    </cfRule>
  </conditionalFormatting>
  <conditionalFormatting sqref="E733">
    <cfRule type="cellIs" dxfId="272" priority="732" stopIfTrue="1" operator="greaterThanOrEqual">
      <formula>0.05</formula>
    </cfRule>
  </conditionalFormatting>
  <conditionalFormatting sqref="E734">
    <cfRule type="cellIs" dxfId="271" priority="733" stopIfTrue="1" operator="greaterThanOrEqual">
      <formula>0.05</formula>
    </cfRule>
  </conditionalFormatting>
  <conditionalFormatting sqref="E735">
    <cfRule type="cellIs" dxfId="270" priority="734" stopIfTrue="1" operator="greaterThanOrEqual">
      <formula>0.05</formula>
    </cfRule>
  </conditionalFormatting>
  <conditionalFormatting sqref="E736">
    <cfRule type="cellIs" dxfId="269" priority="735" stopIfTrue="1" operator="greaterThanOrEqual">
      <formula>0.05</formula>
    </cfRule>
  </conditionalFormatting>
  <conditionalFormatting sqref="E737">
    <cfRule type="cellIs" dxfId="268" priority="736" stopIfTrue="1" operator="greaterThanOrEqual">
      <formula>0.05</formula>
    </cfRule>
  </conditionalFormatting>
  <conditionalFormatting sqref="E738">
    <cfRule type="cellIs" dxfId="267" priority="737" stopIfTrue="1" operator="greaterThanOrEqual">
      <formula>0.05</formula>
    </cfRule>
  </conditionalFormatting>
  <conditionalFormatting sqref="E739">
    <cfRule type="cellIs" dxfId="266" priority="738" stopIfTrue="1" operator="greaterThanOrEqual">
      <formula>0.05</formula>
    </cfRule>
  </conditionalFormatting>
  <conditionalFormatting sqref="E740">
    <cfRule type="cellIs" dxfId="265" priority="739" stopIfTrue="1" operator="greaterThanOrEqual">
      <formula>0.05</formula>
    </cfRule>
  </conditionalFormatting>
  <conditionalFormatting sqref="E741">
    <cfRule type="cellIs" dxfId="264" priority="740" stopIfTrue="1" operator="greaterThanOrEqual">
      <formula>0.05</formula>
    </cfRule>
  </conditionalFormatting>
  <conditionalFormatting sqref="E742">
    <cfRule type="cellIs" dxfId="263" priority="741" stopIfTrue="1" operator="greaterThanOrEqual">
      <formula>0.05</formula>
    </cfRule>
  </conditionalFormatting>
  <conditionalFormatting sqref="E743">
    <cfRule type="cellIs" dxfId="262" priority="742" stopIfTrue="1" operator="greaterThanOrEqual">
      <formula>0.05</formula>
    </cfRule>
  </conditionalFormatting>
  <conditionalFormatting sqref="E744">
    <cfRule type="cellIs" dxfId="261" priority="743" stopIfTrue="1" operator="greaterThanOrEqual">
      <formula>0.05</formula>
    </cfRule>
  </conditionalFormatting>
  <conditionalFormatting sqref="E745">
    <cfRule type="cellIs" dxfId="260" priority="744" stopIfTrue="1" operator="greaterThanOrEqual">
      <formula>0.05</formula>
    </cfRule>
  </conditionalFormatting>
  <conditionalFormatting sqref="E746">
    <cfRule type="cellIs" dxfId="259" priority="745" stopIfTrue="1" operator="greaterThanOrEqual">
      <formula>0.05</formula>
    </cfRule>
  </conditionalFormatting>
  <conditionalFormatting sqref="E747">
    <cfRule type="cellIs" dxfId="258" priority="746" stopIfTrue="1" operator="greaterThanOrEqual">
      <formula>0.05</formula>
    </cfRule>
  </conditionalFormatting>
  <conditionalFormatting sqref="E748">
    <cfRule type="cellIs" dxfId="257" priority="747" stopIfTrue="1" operator="greaterThanOrEqual">
      <formula>0.05</formula>
    </cfRule>
  </conditionalFormatting>
  <conditionalFormatting sqref="E749">
    <cfRule type="cellIs" dxfId="256" priority="748" stopIfTrue="1" operator="greaterThanOrEqual">
      <formula>0.05</formula>
    </cfRule>
  </conditionalFormatting>
  <conditionalFormatting sqref="E750">
    <cfRule type="cellIs" dxfId="255" priority="749" stopIfTrue="1" operator="greaterThanOrEqual">
      <formula>0.05</formula>
    </cfRule>
  </conditionalFormatting>
  <conditionalFormatting sqref="E751">
    <cfRule type="cellIs" dxfId="254" priority="750" stopIfTrue="1" operator="greaterThanOrEqual">
      <formula>0.05</formula>
    </cfRule>
  </conditionalFormatting>
  <conditionalFormatting sqref="E752">
    <cfRule type="cellIs" dxfId="253" priority="751" stopIfTrue="1" operator="greaterThanOrEqual">
      <formula>0.05</formula>
    </cfRule>
  </conditionalFormatting>
  <conditionalFormatting sqref="E753">
    <cfRule type="cellIs" dxfId="252" priority="752" stopIfTrue="1" operator="greaterThanOrEqual">
      <formula>0.05</formula>
    </cfRule>
  </conditionalFormatting>
  <conditionalFormatting sqref="E754">
    <cfRule type="cellIs" dxfId="251" priority="753" stopIfTrue="1" operator="greaterThanOrEqual">
      <formula>0.05</formula>
    </cfRule>
  </conditionalFormatting>
  <conditionalFormatting sqref="E755">
    <cfRule type="cellIs" dxfId="250" priority="754" stopIfTrue="1" operator="greaterThanOrEqual">
      <formula>0.05</formula>
    </cfRule>
  </conditionalFormatting>
  <conditionalFormatting sqref="E756">
    <cfRule type="cellIs" dxfId="249" priority="755" stopIfTrue="1" operator="greaterThanOrEqual">
      <formula>0.05</formula>
    </cfRule>
  </conditionalFormatting>
  <conditionalFormatting sqref="E757">
    <cfRule type="cellIs" dxfId="248" priority="756" stopIfTrue="1" operator="greaterThanOrEqual">
      <formula>0.05</formula>
    </cfRule>
  </conditionalFormatting>
  <conditionalFormatting sqref="E758">
    <cfRule type="cellIs" dxfId="247" priority="757" stopIfTrue="1" operator="greaterThanOrEqual">
      <formula>0.05</formula>
    </cfRule>
  </conditionalFormatting>
  <conditionalFormatting sqref="E759">
    <cfRule type="cellIs" dxfId="246" priority="758" stopIfTrue="1" operator="greaterThanOrEqual">
      <formula>0.05</formula>
    </cfRule>
  </conditionalFormatting>
  <conditionalFormatting sqref="E760">
    <cfRule type="cellIs" dxfId="245" priority="759" stopIfTrue="1" operator="greaterThanOrEqual">
      <formula>0.05</formula>
    </cfRule>
  </conditionalFormatting>
  <conditionalFormatting sqref="E761">
    <cfRule type="cellIs" dxfId="244" priority="760" stopIfTrue="1" operator="greaterThanOrEqual">
      <formula>0.05</formula>
    </cfRule>
  </conditionalFormatting>
  <conditionalFormatting sqref="E762">
    <cfRule type="cellIs" dxfId="243" priority="761" stopIfTrue="1" operator="greaterThanOrEqual">
      <formula>0.05</formula>
    </cfRule>
  </conditionalFormatting>
  <conditionalFormatting sqref="E763">
    <cfRule type="cellIs" dxfId="242" priority="762" stopIfTrue="1" operator="greaterThanOrEqual">
      <formula>0.05</formula>
    </cfRule>
  </conditionalFormatting>
  <conditionalFormatting sqref="E764">
    <cfRule type="cellIs" dxfId="241" priority="763" stopIfTrue="1" operator="greaterThanOrEqual">
      <formula>0.05</formula>
    </cfRule>
  </conditionalFormatting>
  <conditionalFormatting sqref="E765">
    <cfRule type="cellIs" dxfId="240" priority="764" stopIfTrue="1" operator="greaterThanOrEqual">
      <formula>0.05</formula>
    </cfRule>
  </conditionalFormatting>
  <conditionalFormatting sqref="E766">
    <cfRule type="cellIs" dxfId="239" priority="765" stopIfTrue="1" operator="greaterThanOrEqual">
      <formula>0.05</formula>
    </cfRule>
  </conditionalFormatting>
  <conditionalFormatting sqref="E767">
    <cfRule type="cellIs" dxfId="238" priority="766" stopIfTrue="1" operator="greaterThanOrEqual">
      <formula>0.05</formula>
    </cfRule>
  </conditionalFormatting>
  <conditionalFormatting sqref="E768">
    <cfRule type="cellIs" dxfId="237" priority="767" stopIfTrue="1" operator="greaterThanOrEqual">
      <formula>0.05</formula>
    </cfRule>
  </conditionalFormatting>
  <conditionalFormatting sqref="E769">
    <cfRule type="cellIs" dxfId="236" priority="768" stopIfTrue="1" operator="greaterThanOrEqual">
      <formula>0.05</formula>
    </cfRule>
  </conditionalFormatting>
  <conditionalFormatting sqref="E770">
    <cfRule type="cellIs" dxfId="235" priority="769" stopIfTrue="1" operator="greaterThanOrEqual">
      <formula>0.05</formula>
    </cfRule>
  </conditionalFormatting>
  <conditionalFormatting sqref="E771">
    <cfRule type="cellIs" dxfId="234" priority="770" stopIfTrue="1" operator="greaterThanOrEqual">
      <formula>0.05</formula>
    </cfRule>
  </conditionalFormatting>
  <conditionalFormatting sqref="E772">
    <cfRule type="cellIs" dxfId="233" priority="771" stopIfTrue="1" operator="greaterThanOrEqual">
      <formula>0.05</formula>
    </cfRule>
  </conditionalFormatting>
  <conditionalFormatting sqref="E773">
    <cfRule type="cellIs" dxfId="232" priority="772" stopIfTrue="1" operator="greaterThanOrEqual">
      <formula>0.05</formula>
    </cfRule>
  </conditionalFormatting>
  <conditionalFormatting sqref="E774">
    <cfRule type="cellIs" dxfId="231" priority="773" stopIfTrue="1" operator="greaterThanOrEqual">
      <formula>0.05</formula>
    </cfRule>
  </conditionalFormatting>
  <conditionalFormatting sqref="E775">
    <cfRule type="cellIs" dxfId="230" priority="774" stopIfTrue="1" operator="greaterThanOrEqual">
      <formula>0.05</formula>
    </cfRule>
  </conditionalFormatting>
  <conditionalFormatting sqref="E776">
    <cfRule type="cellIs" dxfId="229" priority="775" stopIfTrue="1" operator="greaterThanOrEqual">
      <formula>0.05</formula>
    </cfRule>
  </conditionalFormatting>
  <conditionalFormatting sqref="E777">
    <cfRule type="cellIs" dxfId="228" priority="776" stopIfTrue="1" operator="greaterThanOrEqual">
      <formula>0.05</formula>
    </cfRule>
  </conditionalFormatting>
  <conditionalFormatting sqref="E778">
    <cfRule type="cellIs" dxfId="227" priority="777" stopIfTrue="1" operator="greaterThanOrEqual">
      <formula>0.05</formula>
    </cfRule>
  </conditionalFormatting>
  <conditionalFormatting sqref="E779">
    <cfRule type="cellIs" dxfId="226" priority="778" stopIfTrue="1" operator="greaterThanOrEqual">
      <formula>0.05</formula>
    </cfRule>
  </conditionalFormatting>
  <conditionalFormatting sqref="E780">
    <cfRule type="cellIs" dxfId="225" priority="779" stopIfTrue="1" operator="greaterThanOrEqual">
      <formula>0.05</formula>
    </cfRule>
  </conditionalFormatting>
  <conditionalFormatting sqref="E781">
    <cfRule type="cellIs" dxfId="224" priority="780" stopIfTrue="1" operator="greaterThanOrEqual">
      <formula>0.05</formula>
    </cfRule>
  </conditionalFormatting>
  <conditionalFormatting sqref="E782">
    <cfRule type="cellIs" dxfId="223" priority="781" stopIfTrue="1" operator="greaterThanOrEqual">
      <formula>0.05</formula>
    </cfRule>
  </conditionalFormatting>
  <conditionalFormatting sqref="E783">
    <cfRule type="cellIs" dxfId="222" priority="782" stopIfTrue="1" operator="greaterThanOrEqual">
      <formula>0.05</formula>
    </cfRule>
  </conditionalFormatting>
  <conditionalFormatting sqref="E784">
    <cfRule type="cellIs" dxfId="221" priority="783" stopIfTrue="1" operator="greaterThanOrEqual">
      <formula>0.05</formula>
    </cfRule>
  </conditionalFormatting>
  <conditionalFormatting sqref="E785">
    <cfRule type="cellIs" dxfId="220" priority="784" stopIfTrue="1" operator="greaterThanOrEqual">
      <formula>0.05</formula>
    </cfRule>
  </conditionalFormatting>
  <conditionalFormatting sqref="E786">
    <cfRule type="cellIs" dxfId="219" priority="785" stopIfTrue="1" operator="greaterThanOrEqual">
      <formula>0.05</formula>
    </cfRule>
  </conditionalFormatting>
  <conditionalFormatting sqref="E787">
    <cfRule type="cellIs" dxfId="218" priority="786" stopIfTrue="1" operator="greaterThanOrEqual">
      <formula>0.05</formula>
    </cfRule>
  </conditionalFormatting>
  <conditionalFormatting sqref="E788">
    <cfRule type="cellIs" dxfId="217" priority="787" stopIfTrue="1" operator="greaterThanOrEqual">
      <formula>0.05</formula>
    </cfRule>
  </conditionalFormatting>
  <conditionalFormatting sqref="E789">
    <cfRule type="cellIs" dxfId="216" priority="788" stopIfTrue="1" operator="greaterThanOrEqual">
      <formula>0.05</formula>
    </cfRule>
  </conditionalFormatting>
  <conditionalFormatting sqref="E790">
    <cfRule type="cellIs" dxfId="215" priority="789" stopIfTrue="1" operator="greaterThanOrEqual">
      <formula>0.05</formula>
    </cfRule>
  </conditionalFormatting>
  <conditionalFormatting sqref="E791">
    <cfRule type="cellIs" dxfId="214" priority="790" stopIfTrue="1" operator="greaterThanOrEqual">
      <formula>0.05</formula>
    </cfRule>
  </conditionalFormatting>
  <conditionalFormatting sqref="E792">
    <cfRule type="cellIs" dxfId="213" priority="791" stopIfTrue="1" operator="greaterThanOrEqual">
      <formula>0.05</formula>
    </cfRule>
  </conditionalFormatting>
  <conditionalFormatting sqref="E793">
    <cfRule type="cellIs" dxfId="212" priority="792" stopIfTrue="1" operator="greaterThanOrEqual">
      <formula>0.05</formula>
    </cfRule>
  </conditionalFormatting>
  <conditionalFormatting sqref="E794">
    <cfRule type="cellIs" dxfId="211" priority="793" stopIfTrue="1" operator="greaterThanOrEqual">
      <formula>0.05</formula>
    </cfRule>
  </conditionalFormatting>
  <conditionalFormatting sqref="E795">
    <cfRule type="cellIs" dxfId="210" priority="794" stopIfTrue="1" operator="greaterThanOrEqual">
      <formula>0.05</formula>
    </cfRule>
  </conditionalFormatting>
  <conditionalFormatting sqref="E796">
    <cfRule type="cellIs" dxfId="209" priority="795" stopIfTrue="1" operator="greaterThanOrEqual">
      <formula>0.05</formula>
    </cfRule>
  </conditionalFormatting>
  <conditionalFormatting sqref="E797">
    <cfRule type="cellIs" dxfId="208" priority="796" stopIfTrue="1" operator="greaterThanOrEqual">
      <formula>0.05</formula>
    </cfRule>
  </conditionalFormatting>
  <conditionalFormatting sqref="E798">
    <cfRule type="cellIs" dxfId="207" priority="797" stopIfTrue="1" operator="greaterThanOrEqual">
      <formula>0.05</formula>
    </cfRule>
  </conditionalFormatting>
  <conditionalFormatting sqref="E799">
    <cfRule type="cellIs" dxfId="206" priority="798" stopIfTrue="1" operator="greaterThanOrEqual">
      <formula>0.05</formula>
    </cfRule>
  </conditionalFormatting>
  <conditionalFormatting sqref="E800">
    <cfRule type="cellIs" dxfId="205" priority="799" stopIfTrue="1" operator="greaterThanOrEqual">
      <formula>0.05</formula>
    </cfRule>
  </conditionalFormatting>
  <conditionalFormatting sqref="E801">
    <cfRule type="cellIs" dxfId="204" priority="800" stopIfTrue="1" operator="greaterThanOrEqual">
      <formula>0.05</formula>
    </cfRule>
  </conditionalFormatting>
  <conditionalFormatting sqref="E802">
    <cfRule type="cellIs" dxfId="203" priority="801" stopIfTrue="1" operator="greaterThanOrEqual">
      <formula>0.05</formula>
    </cfRule>
  </conditionalFormatting>
  <conditionalFormatting sqref="E803">
    <cfRule type="cellIs" dxfId="202" priority="802" stopIfTrue="1" operator="greaterThanOrEqual">
      <formula>0.05</formula>
    </cfRule>
  </conditionalFormatting>
  <conditionalFormatting sqref="E804">
    <cfRule type="cellIs" dxfId="201" priority="803" stopIfTrue="1" operator="greaterThanOrEqual">
      <formula>0.05</formula>
    </cfRule>
  </conditionalFormatting>
  <conditionalFormatting sqref="E805">
    <cfRule type="cellIs" dxfId="200" priority="804" stopIfTrue="1" operator="greaterThanOrEqual">
      <formula>0.05</formula>
    </cfRule>
  </conditionalFormatting>
  <conditionalFormatting sqref="E806">
    <cfRule type="cellIs" dxfId="199" priority="805" stopIfTrue="1" operator="greaterThanOrEqual">
      <formula>0.05</formula>
    </cfRule>
  </conditionalFormatting>
  <conditionalFormatting sqref="E807">
    <cfRule type="cellIs" dxfId="198" priority="806" stopIfTrue="1" operator="greaterThanOrEqual">
      <formula>0.05</formula>
    </cfRule>
  </conditionalFormatting>
  <conditionalFormatting sqref="E808">
    <cfRule type="cellIs" dxfId="197" priority="807" stopIfTrue="1" operator="greaterThanOrEqual">
      <formula>0.05</formula>
    </cfRule>
  </conditionalFormatting>
  <conditionalFormatting sqref="E809">
    <cfRule type="cellIs" dxfId="196" priority="808" stopIfTrue="1" operator="greaterThanOrEqual">
      <formula>0.05</formula>
    </cfRule>
  </conditionalFormatting>
  <conditionalFormatting sqref="E810">
    <cfRule type="cellIs" dxfId="195" priority="809" stopIfTrue="1" operator="greaterThanOrEqual">
      <formula>0.05</formula>
    </cfRule>
  </conditionalFormatting>
  <conditionalFormatting sqref="E811">
    <cfRule type="cellIs" dxfId="194" priority="810" stopIfTrue="1" operator="greaterThanOrEqual">
      <formula>0.05</formula>
    </cfRule>
  </conditionalFormatting>
  <conditionalFormatting sqref="E812">
    <cfRule type="cellIs" dxfId="193" priority="811" stopIfTrue="1" operator="greaterThanOrEqual">
      <formula>0.05</formula>
    </cfRule>
  </conditionalFormatting>
  <conditionalFormatting sqref="E813">
    <cfRule type="cellIs" dxfId="192" priority="812" stopIfTrue="1" operator="greaterThanOrEqual">
      <formula>0.05</formula>
    </cfRule>
  </conditionalFormatting>
  <conditionalFormatting sqref="E814">
    <cfRule type="cellIs" dxfId="191" priority="813" stopIfTrue="1" operator="greaterThanOrEqual">
      <formula>0.05</formula>
    </cfRule>
  </conditionalFormatting>
  <conditionalFormatting sqref="E815">
    <cfRule type="cellIs" dxfId="190" priority="814" stopIfTrue="1" operator="greaterThanOrEqual">
      <formula>0.05</formula>
    </cfRule>
  </conditionalFormatting>
  <conditionalFormatting sqref="E816">
    <cfRule type="cellIs" dxfId="189" priority="815" stopIfTrue="1" operator="greaterThanOrEqual">
      <formula>0.05</formula>
    </cfRule>
  </conditionalFormatting>
  <conditionalFormatting sqref="E817">
    <cfRule type="cellIs" dxfId="188" priority="816" stopIfTrue="1" operator="greaterThanOrEqual">
      <formula>0.05</formula>
    </cfRule>
  </conditionalFormatting>
  <conditionalFormatting sqref="E818">
    <cfRule type="cellIs" dxfId="187" priority="817" stopIfTrue="1" operator="greaterThanOrEqual">
      <formula>0.05</formula>
    </cfRule>
  </conditionalFormatting>
  <conditionalFormatting sqref="E819">
    <cfRule type="cellIs" dxfId="186" priority="818" stopIfTrue="1" operator="greaterThanOrEqual">
      <formula>0.05</formula>
    </cfRule>
  </conditionalFormatting>
  <conditionalFormatting sqref="E820">
    <cfRule type="cellIs" dxfId="185" priority="819" stopIfTrue="1" operator="greaterThanOrEqual">
      <formula>0.05</formula>
    </cfRule>
  </conditionalFormatting>
  <conditionalFormatting sqref="E821">
    <cfRule type="cellIs" dxfId="184" priority="820" stopIfTrue="1" operator="greaterThanOrEqual">
      <formula>0.05</formula>
    </cfRule>
  </conditionalFormatting>
  <conditionalFormatting sqref="E822">
    <cfRule type="cellIs" dxfId="183" priority="821" stopIfTrue="1" operator="greaterThanOrEqual">
      <formula>0.05</formula>
    </cfRule>
  </conditionalFormatting>
  <conditionalFormatting sqref="E823">
    <cfRule type="cellIs" dxfId="182" priority="822" stopIfTrue="1" operator="greaterThanOrEqual">
      <formula>0.05</formula>
    </cfRule>
  </conditionalFormatting>
  <conditionalFormatting sqref="E824">
    <cfRule type="cellIs" dxfId="181" priority="823" stopIfTrue="1" operator="greaterThanOrEqual">
      <formula>0.05</formula>
    </cfRule>
  </conditionalFormatting>
  <conditionalFormatting sqref="E825">
    <cfRule type="cellIs" dxfId="180" priority="824" stopIfTrue="1" operator="greaterThanOrEqual">
      <formula>0.05</formula>
    </cfRule>
  </conditionalFormatting>
  <conditionalFormatting sqref="E826">
    <cfRule type="cellIs" dxfId="179" priority="825" stopIfTrue="1" operator="greaterThanOrEqual">
      <formula>0.05</formula>
    </cfRule>
  </conditionalFormatting>
  <conditionalFormatting sqref="E827">
    <cfRule type="cellIs" dxfId="178" priority="826" stopIfTrue="1" operator="greaterThanOrEqual">
      <formula>0.05</formula>
    </cfRule>
  </conditionalFormatting>
  <conditionalFormatting sqref="E828">
    <cfRule type="cellIs" dxfId="177" priority="827" stopIfTrue="1" operator="greaterThanOrEqual">
      <formula>0.05</formula>
    </cfRule>
  </conditionalFormatting>
  <conditionalFormatting sqref="E829">
    <cfRule type="cellIs" dxfId="176" priority="828" stopIfTrue="1" operator="greaterThanOrEqual">
      <formula>0.05</formula>
    </cfRule>
  </conditionalFormatting>
  <conditionalFormatting sqref="E830">
    <cfRule type="cellIs" dxfId="175" priority="829" stopIfTrue="1" operator="greaterThanOrEqual">
      <formula>0.05</formula>
    </cfRule>
  </conditionalFormatting>
  <conditionalFormatting sqref="E831">
    <cfRule type="cellIs" dxfId="174" priority="830" stopIfTrue="1" operator="greaterThanOrEqual">
      <formula>0.05</formula>
    </cfRule>
  </conditionalFormatting>
  <conditionalFormatting sqref="E832">
    <cfRule type="cellIs" dxfId="173" priority="831" stopIfTrue="1" operator="greaterThanOrEqual">
      <formula>0.05</formula>
    </cfRule>
  </conditionalFormatting>
  <conditionalFormatting sqref="E833">
    <cfRule type="cellIs" dxfId="172" priority="832" stopIfTrue="1" operator="greaterThanOrEqual">
      <formula>0.05</formula>
    </cfRule>
  </conditionalFormatting>
  <conditionalFormatting sqref="E834">
    <cfRule type="cellIs" dxfId="171" priority="833" stopIfTrue="1" operator="greaterThanOrEqual">
      <formula>0.05</formula>
    </cfRule>
  </conditionalFormatting>
  <conditionalFormatting sqref="E835">
    <cfRule type="cellIs" dxfId="170" priority="834" stopIfTrue="1" operator="greaterThanOrEqual">
      <formula>0.05</formula>
    </cfRule>
  </conditionalFormatting>
  <conditionalFormatting sqref="E836">
    <cfRule type="cellIs" dxfId="169" priority="835" stopIfTrue="1" operator="greaterThanOrEqual">
      <formula>0.05</formula>
    </cfRule>
  </conditionalFormatting>
  <conditionalFormatting sqref="E837">
    <cfRule type="cellIs" dxfId="168" priority="836" stopIfTrue="1" operator="greaterThanOrEqual">
      <formula>0.05</formula>
    </cfRule>
  </conditionalFormatting>
  <conditionalFormatting sqref="E838">
    <cfRule type="cellIs" dxfId="167" priority="837" stopIfTrue="1" operator="greaterThanOrEqual">
      <formula>0.05</formula>
    </cfRule>
  </conditionalFormatting>
  <conditionalFormatting sqref="E839">
    <cfRule type="cellIs" dxfId="166" priority="838" stopIfTrue="1" operator="greaterThanOrEqual">
      <formula>0.05</formula>
    </cfRule>
  </conditionalFormatting>
  <conditionalFormatting sqref="E840">
    <cfRule type="cellIs" dxfId="165" priority="839" stopIfTrue="1" operator="greaterThanOrEqual">
      <formula>0.05</formula>
    </cfRule>
  </conditionalFormatting>
  <conditionalFormatting sqref="E841">
    <cfRule type="cellIs" dxfId="164" priority="840" stopIfTrue="1" operator="greaterThanOrEqual">
      <formula>0.05</formula>
    </cfRule>
  </conditionalFormatting>
  <conditionalFormatting sqref="E842">
    <cfRule type="cellIs" dxfId="163" priority="841" stopIfTrue="1" operator="greaterThanOrEqual">
      <formula>0.05</formula>
    </cfRule>
  </conditionalFormatting>
  <conditionalFormatting sqref="E843">
    <cfRule type="cellIs" dxfId="162" priority="842" stopIfTrue="1" operator="greaterThanOrEqual">
      <formula>0.05</formula>
    </cfRule>
  </conditionalFormatting>
  <conditionalFormatting sqref="E844">
    <cfRule type="cellIs" dxfId="161" priority="843" stopIfTrue="1" operator="greaterThanOrEqual">
      <formula>0.05</formula>
    </cfRule>
  </conditionalFormatting>
  <conditionalFormatting sqref="E845">
    <cfRule type="cellIs" dxfId="160" priority="844" stopIfTrue="1" operator="greaterThanOrEqual">
      <formula>0.05</formula>
    </cfRule>
  </conditionalFormatting>
  <conditionalFormatting sqref="E846">
    <cfRule type="cellIs" dxfId="159" priority="845" stopIfTrue="1" operator="greaterThanOrEqual">
      <formula>0.05</formula>
    </cfRule>
  </conditionalFormatting>
  <conditionalFormatting sqref="E847">
    <cfRule type="cellIs" dxfId="158" priority="846" stopIfTrue="1" operator="greaterThanOrEqual">
      <formula>0.05</formula>
    </cfRule>
  </conditionalFormatting>
  <conditionalFormatting sqref="E848">
    <cfRule type="cellIs" dxfId="157" priority="847" stopIfTrue="1" operator="greaterThanOrEqual">
      <formula>0.05</formula>
    </cfRule>
  </conditionalFormatting>
  <conditionalFormatting sqref="E849">
    <cfRule type="cellIs" dxfId="156" priority="848" stopIfTrue="1" operator="greaterThanOrEqual">
      <formula>0.05</formula>
    </cfRule>
  </conditionalFormatting>
  <conditionalFormatting sqref="E850">
    <cfRule type="cellIs" dxfId="155" priority="849" stopIfTrue="1" operator="greaterThanOrEqual">
      <formula>0.05</formula>
    </cfRule>
  </conditionalFormatting>
  <conditionalFormatting sqref="E851">
    <cfRule type="cellIs" dxfId="154" priority="850" stopIfTrue="1" operator="greaterThanOrEqual">
      <formula>0.05</formula>
    </cfRule>
  </conditionalFormatting>
  <conditionalFormatting sqref="E852">
    <cfRule type="cellIs" dxfId="153" priority="851" stopIfTrue="1" operator="greaterThanOrEqual">
      <formula>0.05</formula>
    </cfRule>
  </conditionalFormatting>
  <conditionalFormatting sqref="E853">
    <cfRule type="cellIs" dxfId="152" priority="852" stopIfTrue="1" operator="greaterThanOrEqual">
      <formula>0.05</formula>
    </cfRule>
  </conditionalFormatting>
  <conditionalFormatting sqref="E854">
    <cfRule type="cellIs" dxfId="151" priority="853" stopIfTrue="1" operator="greaterThanOrEqual">
      <formula>0.05</formula>
    </cfRule>
  </conditionalFormatting>
  <conditionalFormatting sqref="E855">
    <cfRule type="cellIs" dxfId="150" priority="854" stopIfTrue="1" operator="greaterThanOrEqual">
      <formula>0.05</formula>
    </cfRule>
  </conditionalFormatting>
  <conditionalFormatting sqref="E856">
    <cfRule type="cellIs" dxfId="149" priority="855" stopIfTrue="1" operator="greaterThanOrEqual">
      <formula>0.05</formula>
    </cfRule>
  </conditionalFormatting>
  <conditionalFormatting sqref="E857">
    <cfRule type="cellIs" dxfId="148" priority="856" stopIfTrue="1" operator="greaterThanOrEqual">
      <formula>0.05</formula>
    </cfRule>
  </conditionalFormatting>
  <conditionalFormatting sqref="E858">
    <cfRule type="cellIs" dxfId="147" priority="857" stopIfTrue="1" operator="greaterThanOrEqual">
      <formula>0.05</formula>
    </cfRule>
  </conditionalFormatting>
  <conditionalFormatting sqref="E859">
    <cfRule type="cellIs" dxfId="146" priority="858" stopIfTrue="1" operator="greaterThanOrEqual">
      <formula>0.05</formula>
    </cfRule>
  </conditionalFormatting>
  <conditionalFormatting sqref="E860">
    <cfRule type="cellIs" dxfId="145" priority="859" stopIfTrue="1" operator="greaterThanOrEqual">
      <formula>0.05</formula>
    </cfRule>
  </conditionalFormatting>
  <conditionalFormatting sqref="E861">
    <cfRule type="cellIs" dxfId="144" priority="860" stopIfTrue="1" operator="greaterThanOrEqual">
      <formula>0.05</formula>
    </cfRule>
  </conditionalFormatting>
  <conditionalFormatting sqref="E862">
    <cfRule type="cellIs" dxfId="143" priority="861" stopIfTrue="1" operator="greaterThanOrEqual">
      <formula>0.05</formula>
    </cfRule>
  </conditionalFormatting>
  <conditionalFormatting sqref="E863">
    <cfRule type="cellIs" dxfId="142" priority="862" stopIfTrue="1" operator="greaterThanOrEqual">
      <formula>0.05</formula>
    </cfRule>
  </conditionalFormatting>
  <conditionalFormatting sqref="E864">
    <cfRule type="cellIs" dxfId="141" priority="863" stopIfTrue="1" operator="greaterThanOrEqual">
      <formula>0.05</formula>
    </cfRule>
  </conditionalFormatting>
  <conditionalFormatting sqref="E865">
    <cfRule type="cellIs" dxfId="140" priority="864" stopIfTrue="1" operator="greaterThanOrEqual">
      <formula>0.05</formula>
    </cfRule>
  </conditionalFormatting>
  <conditionalFormatting sqref="E866">
    <cfRule type="cellIs" dxfId="139" priority="865" stopIfTrue="1" operator="greaterThanOrEqual">
      <formula>0.05</formula>
    </cfRule>
  </conditionalFormatting>
  <conditionalFormatting sqref="E867">
    <cfRule type="cellIs" dxfId="138" priority="866" stopIfTrue="1" operator="greaterThanOrEqual">
      <formula>0.05</formula>
    </cfRule>
  </conditionalFormatting>
  <conditionalFormatting sqref="E868">
    <cfRule type="cellIs" dxfId="137" priority="867" stopIfTrue="1" operator="greaterThanOrEqual">
      <formula>0.05</formula>
    </cfRule>
  </conditionalFormatting>
  <conditionalFormatting sqref="E869">
    <cfRule type="cellIs" dxfId="136" priority="868" stopIfTrue="1" operator="greaterThanOrEqual">
      <formula>0.05</formula>
    </cfRule>
  </conditionalFormatting>
  <conditionalFormatting sqref="E870">
    <cfRule type="cellIs" dxfId="135" priority="869" stopIfTrue="1" operator="greaterThanOrEqual">
      <formula>0.05</formula>
    </cfRule>
  </conditionalFormatting>
  <conditionalFormatting sqref="E871">
    <cfRule type="cellIs" dxfId="134" priority="870" stopIfTrue="1" operator="greaterThanOrEqual">
      <formula>0.05</formula>
    </cfRule>
  </conditionalFormatting>
  <conditionalFormatting sqref="E872">
    <cfRule type="cellIs" dxfId="133" priority="871" stopIfTrue="1" operator="greaterThanOrEqual">
      <formula>0.05</formula>
    </cfRule>
  </conditionalFormatting>
  <conditionalFormatting sqref="E873">
    <cfRule type="cellIs" dxfId="132" priority="872" stopIfTrue="1" operator="greaterThanOrEqual">
      <formula>0.05</formula>
    </cfRule>
  </conditionalFormatting>
  <conditionalFormatting sqref="E874">
    <cfRule type="cellIs" dxfId="131" priority="873" stopIfTrue="1" operator="greaterThanOrEqual">
      <formula>0.05</formula>
    </cfRule>
  </conditionalFormatting>
  <conditionalFormatting sqref="E875">
    <cfRule type="cellIs" dxfId="130" priority="874" stopIfTrue="1" operator="greaterThanOrEqual">
      <formula>0.05</formula>
    </cfRule>
  </conditionalFormatting>
  <conditionalFormatting sqref="E876">
    <cfRule type="cellIs" dxfId="129" priority="875" stopIfTrue="1" operator="greaterThanOrEqual">
      <formula>0.05</formula>
    </cfRule>
  </conditionalFormatting>
  <conditionalFormatting sqref="E877">
    <cfRule type="cellIs" dxfId="128" priority="876" stopIfTrue="1" operator="greaterThanOrEqual">
      <formula>0.05</formula>
    </cfRule>
  </conditionalFormatting>
  <conditionalFormatting sqref="E878">
    <cfRule type="cellIs" dxfId="127" priority="877" stopIfTrue="1" operator="greaterThanOrEqual">
      <formula>0.05</formula>
    </cfRule>
  </conditionalFormatting>
  <conditionalFormatting sqref="E879">
    <cfRule type="cellIs" dxfId="126" priority="878" stopIfTrue="1" operator="greaterThanOrEqual">
      <formula>0.05</formula>
    </cfRule>
  </conditionalFormatting>
  <conditionalFormatting sqref="E880">
    <cfRule type="cellIs" dxfId="125" priority="879" stopIfTrue="1" operator="greaterThanOrEqual">
      <formula>0.05</formula>
    </cfRule>
  </conditionalFormatting>
  <conditionalFormatting sqref="E881">
    <cfRule type="cellIs" dxfId="124" priority="880" stopIfTrue="1" operator="greaterThanOrEqual">
      <formula>0.05</formula>
    </cfRule>
  </conditionalFormatting>
  <conditionalFormatting sqref="E882">
    <cfRule type="cellIs" dxfId="123" priority="881" stopIfTrue="1" operator="greaterThanOrEqual">
      <formula>0.05</formula>
    </cfRule>
  </conditionalFormatting>
  <conditionalFormatting sqref="E883">
    <cfRule type="cellIs" dxfId="122" priority="882" stopIfTrue="1" operator="greaterThanOrEqual">
      <formula>0.05</formula>
    </cfRule>
  </conditionalFormatting>
  <conditionalFormatting sqref="E884">
    <cfRule type="cellIs" dxfId="121" priority="883" stopIfTrue="1" operator="greaterThanOrEqual">
      <formula>0.05</formula>
    </cfRule>
  </conditionalFormatting>
  <conditionalFormatting sqref="E885">
    <cfRule type="cellIs" dxfId="120" priority="884" stopIfTrue="1" operator="greaterThanOrEqual">
      <formula>0.05</formula>
    </cfRule>
  </conditionalFormatting>
  <conditionalFormatting sqref="E886">
    <cfRule type="cellIs" dxfId="119" priority="885" stopIfTrue="1" operator="greaterThanOrEqual">
      <formula>0.05</formula>
    </cfRule>
  </conditionalFormatting>
  <conditionalFormatting sqref="E887">
    <cfRule type="cellIs" dxfId="118" priority="886" stopIfTrue="1" operator="greaterThanOrEqual">
      <formula>0.05</formula>
    </cfRule>
  </conditionalFormatting>
  <conditionalFormatting sqref="E888">
    <cfRule type="cellIs" dxfId="117" priority="887" stopIfTrue="1" operator="greaterThanOrEqual">
      <formula>0.05</formula>
    </cfRule>
  </conditionalFormatting>
  <conditionalFormatting sqref="E889">
    <cfRule type="cellIs" dxfId="116" priority="888" stopIfTrue="1" operator="greaterThanOrEqual">
      <formula>0.05</formula>
    </cfRule>
  </conditionalFormatting>
  <conditionalFormatting sqref="E890">
    <cfRule type="cellIs" dxfId="115" priority="889" stopIfTrue="1" operator="greaterThanOrEqual">
      <formula>0.05</formula>
    </cfRule>
  </conditionalFormatting>
  <conditionalFormatting sqref="E891">
    <cfRule type="cellIs" dxfId="114" priority="890" stopIfTrue="1" operator="greaterThanOrEqual">
      <formula>0.05</formula>
    </cfRule>
  </conditionalFormatting>
  <conditionalFormatting sqref="E892">
    <cfRule type="cellIs" dxfId="113" priority="891" stopIfTrue="1" operator="greaterThanOrEqual">
      <formula>0.05</formula>
    </cfRule>
  </conditionalFormatting>
  <conditionalFormatting sqref="E893">
    <cfRule type="cellIs" dxfId="112" priority="892" stopIfTrue="1" operator="greaterThanOrEqual">
      <formula>0.05</formula>
    </cfRule>
  </conditionalFormatting>
  <conditionalFormatting sqref="E894">
    <cfRule type="cellIs" dxfId="111" priority="893" stopIfTrue="1" operator="greaterThanOrEqual">
      <formula>0.05</formula>
    </cfRule>
  </conditionalFormatting>
  <conditionalFormatting sqref="E895">
    <cfRule type="cellIs" dxfId="110" priority="894" stopIfTrue="1" operator="greaterThanOrEqual">
      <formula>0.05</formula>
    </cfRule>
  </conditionalFormatting>
  <conditionalFormatting sqref="E896">
    <cfRule type="cellIs" dxfId="109" priority="895" stopIfTrue="1" operator="greaterThanOrEqual">
      <formula>0.05</formula>
    </cfRule>
  </conditionalFormatting>
  <conditionalFormatting sqref="E897">
    <cfRule type="cellIs" dxfId="108" priority="896" stopIfTrue="1" operator="greaterThanOrEqual">
      <formula>0.05</formula>
    </cfRule>
  </conditionalFormatting>
  <conditionalFormatting sqref="E898">
    <cfRule type="cellIs" dxfId="107" priority="897" stopIfTrue="1" operator="greaterThanOrEqual">
      <formula>0.05</formula>
    </cfRule>
  </conditionalFormatting>
  <conditionalFormatting sqref="E899">
    <cfRule type="cellIs" dxfId="106" priority="898" stopIfTrue="1" operator="greaterThanOrEqual">
      <formula>0.05</formula>
    </cfRule>
  </conditionalFormatting>
  <conditionalFormatting sqref="E900">
    <cfRule type="cellIs" dxfId="105" priority="899" stopIfTrue="1" operator="greaterThanOrEqual">
      <formula>0.05</formula>
    </cfRule>
  </conditionalFormatting>
  <conditionalFormatting sqref="E901">
    <cfRule type="cellIs" dxfId="104" priority="900" stopIfTrue="1" operator="greaterThanOrEqual">
      <formula>0.05</formula>
    </cfRule>
  </conditionalFormatting>
  <conditionalFormatting sqref="E902">
    <cfRule type="cellIs" dxfId="103" priority="901" stopIfTrue="1" operator="greaterThanOrEqual">
      <formula>0.05</formula>
    </cfRule>
  </conditionalFormatting>
  <conditionalFormatting sqref="E903">
    <cfRule type="cellIs" dxfId="102" priority="902" stopIfTrue="1" operator="greaterThanOrEqual">
      <formula>0.05</formula>
    </cfRule>
  </conditionalFormatting>
  <conditionalFormatting sqref="E904">
    <cfRule type="cellIs" dxfId="101" priority="903" stopIfTrue="1" operator="greaterThanOrEqual">
      <formula>0.05</formula>
    </cfRule>
  </conditionalFormatting>
  <conditionalFormatting sqref="E905">
    <cfRule type="cellIs" dxfId="100" priority="904" stopIfTrue="1" operator="greaterThanOrEqual">
      <formula>0.05</formula>
    </cfRule>
  </conditionalFormatting>
  <conditionalFormatting sqref="E906">
    <cfRule type="cellIs" dxfId="99" priority="905" stopIfTrue="1" operator="greaterThanOrEqual">
      <formula>0.05</formula>
    </cfRule>
  </conditionalFormatting>
  <conditionalFormatting sqref="E907">
    <cfRule type="cellIs" dxfId="98" priority="906" stopIfTrue="1" operator="greaterThanOrEqual">
      <formula>0.05</formula>
    </cfRule>
  </conditionalFormatting>
  <conditionalFormatting sqref="E908">
    <cfRule type="cellIs" dxfId="97" priority="907" stopIfTrue="1" operator="greaterThanOrEqual">
      <formula>0.05</formula>
    </cfRule>
  </conditionalFormatting>
  <conditionalFormatting sqref="E909">
    <cfRule type="cellIs" dxfId="96" priority="908" stopIfTrue="1" operator="greaterThanOrEqual">
      <formula>0.05</formula>
    </cfRule>
  </conditionalFormatting>
  <conditionalFormatting sqref="E910">
    <cfRule type="cellIs" dxfId="95" priority="909" stopIfTrue="1" operator="greaterThanOrEqual">
      <formula>0.05</formula>
    </cfRule>
  </conditionalFormatting>
  <conditionalFormatting sqref="E911">
    <cfRule type="cellIs" dxfId="94" priority="910" stopIfTrue="1" operator="greaterThanOrEqual">
      <formula>0.05</formula>
    </cfRule>
  </conditionalFormatting>
  <conditionalFormatting sqref="E912">
    <cfRule type="cellIs" dxfId="93" priority="911" stopIfTrue="1" operator="greaterThanOrEqual">
      <formula>0.05</formula>
    </cfRule>
  </conditionalFormatting>
  <conditionalFormatting sqref="E913">
    <cfRule type="cellIs" dxfId="92" priority="912" stopIfTrue="1" operator="greaterThanOrEqual">
      <formula>0.05</formula>
    </cfRule>
  </conditionalFormatting>
  <conditionalFormatting sqref="E914">
    <cfRule type="cellIs" dxfId="91" priority="913" stopIfTrue="1" operator="greaterThanOrEqual">
      <formula>0.05</formula>
    </cfRule>
  </conditionalFormatting>
  <conditionalFormatting sqref="E915">
    <cfRule type="cellIs" dxfId="90" priority="914" stopIfTrue="1" operator="greaterThanOrEqual">
      <formula>0.05</formula>
    </cfRule>
  </conditionalFormatting>
  <conditionalFormatting sqref="E916">
    <cfRule type="cellIs" dxfId="89" priority="915" stopIfTrue="1" operator="greaterThanOrEqual">
      <formula>0.05</formula>
    </cfRule>
  </conditionalFormatting>
  <conditionalFormatting sqref="E917">
    <cfRule type="cellIs" dxfId="88" priority="916" stopIfTrue="1" operator="greaterThanOrEqual">
      <formula>0.05</formula>
    </cfRule>
  </conditionalFormatting>
  <conditionalFormatting sqref="E918">
    <cfRule type="cellIs" dxfId="87" priority="917" stopIfTrue="1" operator="greaterThanOrEqual">
      <formula>0.05</formula>
    </cfRule>
  </conditionalFormatting>
  <conditionalFormatting sqref="E919">
    <cfRule type="cellIs" dxfId="86" priority="918" stopIfTrue="1" operator="greaterThanOrEqual">
      <formula>0.05</formula>
    </cfRule>
  </conditionalFormatting>
  <conditionalFormatting sqref="E920">
    <cfRule type="cellIs" dxfId="85" priority="919" stopIfTrue="1" operator="greaterThanOrEqual">
      <formula>0.05</formula>
    </cfRule>
  </conditionalFormatting>
  <conditionalFormatting sqref="E921">
    <cfRule type="cellIs" dxfId="84" priority="920" stopIfTrue="1" operator="greaterThanOrEqual">
      <formula>0.05</formula>
    </cfRule>
  </conditionalFormatting>
  <conditionalFormatting sqref="E922">
    <cfRule type="cellIs" dxfId="83" priority="921" stopIfTrue="1" operator="greaterThanOrEqual">
      <formula>0.05</formula>
    </cfRule>
  </conditionalFormatting>
  <conditionalFormatting sqref="E923">
    <cfRule type="cellIs" dxfId="82" priority="922" stopIfTrue="1" operator="greaterThanOrEqual">
      <formula>0.05</formula>
    </cfRule>
  </conditionalFormatting>
  <conditionalFormatting sqref="E924">
    <cfRule type="cellIs" dxfId="81" priority="923" stopIfTrue="1" operator="greaterThanOrEqual">
      <formula>0.05</formula>
    </cfRule>
  </conditionalFormatting>
  <conditionalFormatting sqref="E925">
    <cfRule type="cellIs" dxfId="80" priority="924" stopIfTrue="1" operator="greaterThanOrEqual">
      <formula>0.05</formula>
    </cfRule>
  </conditionalFormatting>
  <conditionalFormatting sqref="E926">
    <cfRule type="cellIs" dxfId="79" priority="925" stopIfTrue="1" operator="greaterThanOrEqual">
      <formula>0.05</formula>
    </cfRule>
  </conditionalFormatting>
  <conditionalFormatting sqref="E927">
    <cfRule type="cellIs" dxfId="78" priority="926" stopIfTrue="1" operator="greaterThanOrEqual">
      <formula>0.05</formula>
    </cfRule>
  </conditionalFormatting>
  <conditionalFormatting sqref="E928">
    <cfRule type="cellIs" dxfId="77" priority="927" stopIfTrue="1" operator="greaterThanOrEqual">
      <formula>0.05</formula>
    </cfRule>
  </conditionalFormatting>
  <conditionalFormatting sqref="E929">
    <cfRule type="cellIs" dxfId="76" priority="928" stopIfTrue="1" operator="greaterThanOrEqual">
      <formula>0.05</formula>
    </cfRule>
  </conditionalFormatting>
  <conditionalFormatting sqref="E930">
    <cfRule type="cellIs" dxfId="75" priority="929" stopIfTrue="1" operator="greaterThanOrEqual">
      <formula>0.05</formula>
    </cfRule>
  </conditionalFormatting>
  <conditionalFormatting sqref="E931">
    <cfRule type="cellIs" dxfId="74" priority="930" stopIfTrue="1" operator="greaterThanOrEqual">
      <formula>0.05</formula>
    </cfRule>
  </conditionalFormatting>
  <conditionalFormatting sqref="E932">
    <cfRule type="cellIs" dxfId="73" priority="931" stopIfTrue="1" operator="greaterThanOrEqual">
      <formula>0.05</formula>
    </cfRule>
  </conditionalFormatting>
  <conditionalFormatting sqref="E933">
    <cfRule type="cellIs" dxfId="72" priority="932" stopIfTrue="1" operator="greaterThanOrEqual">
      <formula>0.05</formula>
    </cfRule>
  </conditionalFormatting>
  <conditionalFormatting sqref="E934">
    <cfRule type="cellIs" dxfId="71" priority="933" stopIfTrue="1" operator="greaterThanOrEqual">
      <formula>0.05</formula>
    </cfRule>
  </conditionalFormatting>
  <conditionalFormatting sqref="E935">
    <cfRule type="cellIs" dxfId="70" priority="934" stopIfTrue="1" operator="greaterThanOrEqual">
      <formula>0.05</formula>
    </cfRule>
  </conditionalFormatting>
  <conditionalFormatting sqref="E936">
    <cfRule type="cellIs" dxfId="69" priority="935" stopIfTrue="1" operator="greaterThanOrEqual">
      <formula>0.05</formula>
    </cfRule>
  </conditionalFormatting>
  <conditionalFormatting sqref="E937">
    <cfRule type="cellIs" dxfId="68" priority="936" stopIfTrue="1" operator="greaterThanOrEqual">
      <formula>0.05</formula>
    </cfRule>
  </conditionalFormatting>
  <conditionalFormatting sqref="E938">
    <cfRule type="cellIs" dxfId="67" priority="937" stopIfTrue="1" operator="greaterThanOrEqual">
      <formula>0.05</formula>
    </cfRule>
  </conditionalFormatting>
  <conditionalFormatting sqref="E939">
    <cfRule type="cellIs" dxfId="66" priority="938" stopIfTrue="1" operator="greaterThanOrEqual">
      <formula>0.05</formula>
    </cfRule>
  </conditionalFormatting>
  <conditionalFormatting sqref="E940">
    <cfRule type="cellIs" dxfId="65" priority="939" stopIfTrue="1" operator="greaterThanOrEqual">
      <formula>0.05</formula>
    </cfRule>
  </conditionalFormatting>
  <conditionalFormatting sqref="E941">
    <cfRule type="cellIs" dxfId="64" priority="940" stopIfTrue="1" operator="greaterThanOrEqual">
      <formula>0.05</formula>
    </cfRule>
  </conditionalFormatting>
  <conditionalFormatting sqref="E942">
    <cfRule type="cellIs" dxfId="63" priority="941" stopIfTrue="1" operator="greaterThanOrEqual">
      <formula>0.05</formula>
    </cfRule>
  </conditionalFormatting>
  <conditionalFormatting sqref="E943">
    <cfRule type="cellIs" dxfId="62" priority="942" stopIfTrue="1" operator="greaterThanOrEqual">
      <formula>0.05</formula>
    </cfRule>
  </conditionalFormatting>
  <conditionalFormatting sqref="E944">
    <cfRule type="cellIs" dxfId="61" priority="943" stopIfTrue="1" operator="greaterThanOrEqual">
      <formula>0.05</formula>
    </cfRule>
  </conditionalFormatting>
  <conditionalFormatting sqref="E945">
    <cfRule type="cellIs" dxfId="60" priority="944" stopIfTrue="1" operator="greaterThanOrEqual">
      <formula>0.05</formula>
    </cfRule>
  </conditionalFormatting>
  <conditionalFormatting sqref="E946">
    <cfRule type="cellIs" dxfId="59" priority="945" stopIfTrue="1" operator="greaterThanOrEqual">
      <formula>0.05</formula>
    </cfRule>
  </conditionalFormatting>
  <conditionalFormatting sqref="E947">
    <cfRule type="cellIs" dxfId="58" priority="946" stopIfTrue="1" operator="greaterThanOrEqual">
      <formula>0.05</formula>
    </cfRule>
  </conditionalFormatting>
  <conditionalFormatting sqref="E948">
    <cfRule type="cellIs" dxfId="57" priority="947" stopIfTrue="1" operator="greaterThanOrEqual">
      <formula>0.05</formula>
    </cfRule>
  </conditionalFormatting>
  <conditionalFormatting sqref="E949">
    <cfRule type="cellIs" dxfId="56" priority="948" stopIfTrue="1" operator="greaterThanOrEqual">
      <formula>0.05</formula>
    </cfRule>
  </conditionalFormatting>
  <conditionalFormatting sqref="E950">
    <cfRule type="cellIs" dxfId="55" priority="949" stopIfTrue="1" operator="greaterThanOrEqual">
      <formula>0.05</formula>
    </cfRule>
  </conditionalFormatting>
  <conditionalFormatting sqref="E951">
    <cfRule type="cellIs" dxfId="54" priority="950" stopIfTrue="1" operator="greaterThanOrEqual">
      <formula>0.05</formula>
    </cfRule>
  </conditionalFormatting>
  <conditionalFormatting sqref="E952">
    <cfRule type="cellIs" dxfId="53" priority="951" stopIfTrue="1" operator="greaterThanOrEqual">
      <formula>0.05</formula>
    </cfRule>
  </conditionalFormatting>
  <conditionalFormatting sqref="E953">
    <cfRule type="cellIs" dxfId="52" priority="952" stopIfTrue="1" operator="greaterThanOrEqual">
      <formula>0.05</formula>
    </cfRule>
  </conditionalFormatting>
  <conditionalFormatting sqref="E954">
    <cfRule type="cellIs" dxfId="51" priority="953" stopIfTrue="1" operator="greaterThanOrEqual">
      <formula>0.05</formula>
    </cfRule>
  </conditionalFormatting>
  <conditionalFormatting sqref="E955">
    <cfRule type="cellIs" dxfId="50" priority="954" stopIfTrue="1" operator="greaterThanOrEqual">
      <formula>0.05</formula>
    </cfRule>
  </conditionalFormatting>
  <conditionalFormatting sqref="E956">
    <cfRule type="cellIs" dxfId="49" priority="955" stopIfTrue="1" operator="greaterThanOrEqual">
      <formula>0.05</formula>
    </cfRule>
  </conditionalFormatting>
  <conditionalFormatting sqref="E957">
    <cfRule type="cellIs" dxfId="48" priority="956" stopIfTrue="1" operator="greaterThanOrEqual">
      <formula>0.05</formula>
    </cfRule>
  </conditionalFormatting>
  <conditionalFormatting sqref="E958">
    <cfRule type="cellIs" dxfId="47" priority="957" stopIfTrue="1" operator="greaterThanOrEqual">
      <formula>0.05</formula>
    </cfRule>
  </conditionalFormatting>
  <conditionalFormatting sqref="E959">
    <cfRule type="cellIs" dxfId="46" priority="958" stopIfTrue="1" operator="greaterThanOrEqual">
      <formula>0.05</formula>
    </cfRule>
  </conditionalFormatting>
  <conditionalFormatting sqref="E960">
    <cfRule type="cellIs" dxfId="45" priority="959" stopIfTrue="1" operator="greaterThanOrEqual">
      <formula>0.05</formula>
    </cfRule>
  </conditionalFormatting>
  <conditionalFormatting sqref="E961">
    <cfRule type="cellIs" dxfId="44" priority="960" stopIfTrue="1" operator="greaterThanOrEqual">
      <formula>0.05</formula>
    </cfRule>
  </conditionalFormatting>
  <conditionalFormatting sqref="E962">
    <cfRule type="cellIs" dxfId="43" priority="961" stopIfTrue="1" operator="greaterThanOrEqual">
      <formula>0.05</formula>
    </cfRule>
  </conditionalFormatting>
  <conditionalFormatting sqref="E963">
    <cfRule type="cellIs" dxfId="42" priority="962" stopIfTrue="1" operator="greaterThanOrEqual">
      <formula>0.05</formula>
    </cfRule>
  </conditionalFormatting>
  <conditionalFormatting sqref="E964">
    <cfRule type="cellIs" dxfId="41" priority="963" stopIfTrue="1" operator="greaterThanOrEqual">
      <formula>0.05</formula>
    </cfRule>
  </conditionalFormatting>
  <conditionalFormatting sqref="E965">
    <cfRule type="cellIs" dxfId="40" priority="964" stopIfTrue="1" operator="greaterThanOrEqual">
      <formula>0.05</formula>
    </cfRule>
  </conditionalFormatting>
  <conditionalFormatting sqref="E966">
    <cfRule type="cellIs" dxfId="39" priority="965" stopIfTrue="1" operator="greaterThanOrEqual">
      <formula>0.05</formula>
    </cfRule>
  </conditionalFormatting>
  <conditionalFormatting sqref="E967">
    <cfRule type="cellIs" dxfId="38" priority="966" stopIfTrue="1" operator="greaterThanOrEqual">
      <formula>0.05</formula>
    </cfRule>
  </conditionalFormatting>
  <conditionalFormatting sqref="E968">
    <cfRule type="cellIs" dxfId="37" priority="967" stopIfTrue="1" operator="greaterThanOrEqual">
      <formula>0.05</formula>
    </cfRule>
  </conditionalFormatting>
  <conditionalFormatting sqref="E969">
    <cfRule type="cellIs" dxfId="36" priority="968" stopIfTrue="1" operator="greaterThanOrEqual">
      <formula>0.05</formula>
    </cfRule>
  </conditionalFormatting>
  <conditionalFormatting sqref="E970">
    <cfRule type="cellIs" dxfId="35" priority="969" stopIfTrue="1" operator="greaterThanOrEqual">
      <formula>0.05</formula>
    </cfRule>
  </conditionalFormatting>
  <conditionalFormatting sqref="E971">
    <cfRule type="cellIs" dxfId="34" priority="970" stopIfTrue="1" operator="greaterThanOrEqual">
      <formula>0.05</formula>
    </cfRule>
  </conditionalFormatting>
  <conditionalFormatting sqref="E972">
    <cfRule type="cellIs" dxfId="33" priority="971" stopIfTrue="1" operator="greaterThanOrEqual">
      <formula>0.05</formula>
    </cfRule>
  </conditionalFormatting>
  <conditionalFormatting sqref="E973">
    <cfRule type="cellIs" dxfId="32" priority="972" stopIfTrue="1" operator="greaterThanOrEqual">
      <formula>0.05</formula>
    </cfRule>
  </conditionalFormatting>
  <conditionalFormatting sqref="E974">
    <cfRule type="cellIs" dxfId="31" priority="973" stopIfTrue="1" operator="greaterThanOrEqual">
      <formula>0.05</formula>
    </cfRule>
  </conditionalFormatting>
  <conditionalFormatting sqref="E975">
    <cfRule type="cellIs" dxfId="30" priority="974" stopIfTrue="1" operator="greaterThanOrEqual">
      <formula>0.05</formula>
    </cfRule>
  </conditionalFormatting>
  <conditionalFormatting sqref="E976">
    <cfRule type="cellIs" dxfId="29" priority="975" stopIfTrue="1" operator="greaterThanOrEqual">
      <formula>0.05</formula>
    </cfRule>
  </conditionalFormatting>
  <conditionalFormatting sqref="E977">
    <cfRule type="cellIs" dxfId="28" priority="976" stopIfTrue="1" operator="greaterThanOrEqual">
      <formula>0.05</formula>
    </cfRule>
  </conditionalFormatting>
  <conditionalFormatting sqref="E978">
    <cfRule type="cellIs" dxfId="27" priority="977" stopIfTrue="1" operator="greaterThanOrEqual">
      <formula>0.05</formula>
    </cfRule>
  </conditionalFormatting>
  <conditionalFormatting sqref="E979">
    <cfRule type="cellIs" dxfId="26" priority="978" stopIfTrue="1" operator="greaterThanOrEqual">
      <formula>0.05</formula>
    </cfRule>
  </conditionalFormatting>
  <conditionalFormatting sqref="E980">
    <cfRule type="cellIs" dxfId="25" priority="979" stopIfTrue="1" operator="greaterThanOrEqual">
      <formula>0.05</formula>
    </cfRule>
  </conditionalFormatting>
  <conditionalFormatting sqref="E981">
    <cfRule type="cellIs" dxfId="24" priority="980" stopIfTrue="1" operator="greaterThanOrEqual">
      <formula>0.05</formula>
    </cfRule>
  </conditionalFormatting>
  <conditionalFormatting sqref="E982">
    <cfRule type="cellIs" dxfId="23" priority="981" stopIfTrue="1" operator="greaterThanOrEqual">
      <formula>0.05</formula>
    </cfRule>
  </conditionalFormatting>
  <conditionalFormatting sqref="E983">
    <cfRule type="cellIs" dxfId="22" priority="982" stopIfTrue="1" operator="greaterThanOrEqual">
      <formula>0.05</formula>
    </cfRule>
  </conditionalFormatting>
  <conditionalFormatting sqref="E984">
    <cfRule type="cellIs" dxfId="21" priority="983" stopIfTrue="1" operator="greaterThanOrEqual">
      <formula>0.05</formula>
    </cfRule>
  </conditionalFormatting>
  <conditionalFormatting sqref="E985">
    <cfRule type="cellIs" dxfId="20" priority="984" stopIfTrue="1" operator="greaterThanOrEqual">
      <formula>0.05</formula>
    </cfRule>
  </conditionalFormatting>
  <conditionalFormatting sqref="E986">
    <cfRule type="cellIs" dxfId="19" priority="985" stopIfTrue="1" operator="greaterThanOrEqual">
      <formula>0.05</formula>
    </cfRule>
  </conditionalFormatting>
  <conditionalFormatting sqref="E987">
    <cfRule type="cellIs" dxfId="18" priority="986" stopIfTrue="1" operator="greaterThanOrEqual">
      <formula>0.05</formula>
    </cfRule>
  </conditionalFormatting>
  <conditionalFormatting sqref="E988">
    <cfRule type="cellIs" dxfId="17" priority="987" stopIfTrue="1" operator="greaterThanOrEqual">
      <formula>0.05</formula>
    </cfRule>
  </conditionalFormatting>
  <conditionalFormatting sqref="E989">
    <cfRule type="cellIs" dxfId="16" priority="988" stopIfTrue="1" operator="greaterThanOrEqual">
      <formula>0.05</formula>
    </cfRule>
  </conditionalFormatting>
  <conditionalFormatting sqref="E990">
    <cfRule type="cellIs" dxfId="15" priority="989" stopIfTrue="1" operator="greaterThanOrEqual">
      <formula>0.05</formula>
    </cfRule>
  </conditionalFormatting>
  <conditionalFormatting sqref="E991">
    <cfRule type="cellIs" dxfId="14" priority="990" stopIfTrue="1" operator="greaterThanOrEqual">
      <formula>0.05</formula>
    </cfRule>
  </conditionalFormatting>
  <conditionalFormatting sqref="E992">
    <cfRule type="cellIs" dxfId="13" priority="991" stopIfTrue="1" operator="greaterThanOrEqual">
      <formula>0.05</formula>
    </cfRule>
  </conditionalFormatting>
  <conditionalFormatting sqref="E993">
    <cfRule type="cellIs" dxfId="12" priority="992" stopIfTrue="1" operator="greaterThanOrEqual">
      <formula>0.05</formula>
    </cfRule>
  </conditionalFormatting>
  <conditionalFormatting sqref="E994">
    <cfRule type="cellIs" dxfId="11" priority="993" stopIfTrue="1" operator="greaterThanOrEqual">
      <formula>0.05</formula>
    </cfRule>
  </conditionalFormatting>
  <conditionalFormatting sqref="E995">
    <cfRule type="cellIs" dxfId="10" priority="994" stopIfTrue="1" operator="greaterThanOrEqual">
      <formula>0.05</formula>
    </cfRule>
  </conditionalFormatting>
  <conditionalFormatting sqref="E996">
    <cfRule type="cellIs" dxfId="9" priority="995" stopIfTrue="1" operator="greaterThanOrEqual">
      <formula>0.05</formula>
    </cfRule>
  </conditionalFormatting>
  <conditionalFormatting sqref="E997">
    <cfRule type="cellIs" dxfId="8" priority="996" stopIfTrue="1" operator="greaterThanOrEqual">
      <formula>0.05</formula>
    </cfRule>
  </conditionalFormatting>
  <conditionalFormatting sqref="E998">
    <cfRule type="cellIs" dxfId="7" priority="997" stopIfTrue="1" operator="greaterThanOrEqual">
      <formula>0.05</formula>
    </cfRule>
  </conditionalFormatting>
  <conditionalFormatting sqref="E999">
    <cfRule type="cellIs" dxfId="6" priority="998" stopIfTrue="1" operator="greaterThanOrEqual">
      <formula>0.05</formula>
    </cfRule>
  </conditionalFormatting>
  <conditionalFormatting sqref="E1000">
    <cfRule type="cellIs" dxfId="5" priority="999" stopIfTrue="1" operator="greaterThanOrEqual">
      <formula>0.05</formula>
    </cfRule>
  </conditionalFormatting>
  <conditionalFormatting sqref="C6">
    <cfRule type="cellIs" dxfId="4" priority="1000" stopIfTrue="1" operator="greaterThanOrEqual">
      <formula>0.05</formula>
    </cfRule>
  </conditionalFormatting>
  <conditionalFormatting sqref="C12">
    <cfRule type="cellIs" dxfId="3" priority="1001" stopIfTrue="1" operator="greaterThanOrEqual">
      <formula>0.05</formula>
    </cfRule>
  </conditionalFormatting>
  <conditionalFormatting sqref="C18">
    <cfRule type="cellIs" dxfId="2" priority="1002" stopIfTrue="1" operator="greaterThanOrEqual">
      <formula>0.05</formula>
    </cfRule>
  </conditionalFormatting>
  <conditionalFormatting sqref="I2:I1000">
    <cfRule type="expression" dxfId="1" priority="1003" stopIfTrue="1">
      <formula>AND(ISNUMBER(I2), I2&lt;0.05)</formula>
    </cfRule>
  </conditionalFormatting>
  <conditionalFormatting sqref="M2:M1000">
    <cfRule type="expression" dxfId="0" priority="1004" stopIfTrue="1">
      <formula>AND(ISNUMBER(M2), M2&lt;0.05)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합계 기록</vt:lpstr>
      <vt:lpstr>bio-oss</vt:lpstr>
      <vt:lpstr>bontree plus</vt:lpstr>
      <vt:lpstr>bontree plus + bio-oss</vt:lpstr>
      <vt:lpstr>정리된분석데이터</vt:lpstr>
      <vt:lpstr>자동통계분석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최수영</cp:lastModifiedBy>
  <cp:lastPrinted>2025-05-29T00:33:44Z</cp:lastPrinted>
  <dcterms:created xsi:type="dcterms:W3CDTF">2024-04-25T07:51:42Z</dcterms:created>
  <dcterms:modified xsi:type="dcterms:W3CDTF">2025-08-22T09:03:39Z</dcterms:modified>
</cp:coreProperties>
</file>